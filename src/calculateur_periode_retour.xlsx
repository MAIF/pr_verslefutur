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aif-my.sharepoint.com/personal/vivien_guette_maif_fr/Documents/Desktop/"/>
    </mc:Choice>
  </mc:AlternateContent>
  <xr:revisionPtr revIDLastSave="0" documentId="8_{09D2B398-4BFF-4A3F-896F-44F0DCB6C187}" xr6:coauthVersionLast="47" xr6:coauthVersionMax="47" xr10:uidLastSave="{00000000-0000-0000-0000-000000000000}"/>
  <bookViews>
    <workbookView xWindow="-108" yWindow="-108" windowWidth="23256" windowHeight="12456" tabRatio="693" activeTab="4" xr2:uid="{00000000-000D-0000-FFFF-FFFF00000000}"/>
  </bookViews>
  <sheets>
    <sheet name="Max_An_non_triee" sheetId="13" r:id="rId1"/>
    <sheet name="Valeurs Maximales Annuelles" sheetId="6" r:id="rId2"/>
    <sheet name="Ajustement de GUMBEL" sheetId="7" r:id="rId3"/>
    <sheet name="Ajustement de Gumbel-Graph" sheetId="8" r:id="rId4"/>
    <sheet name="IDF" sheetId="9" r:id="rId5"/>
    <sheet name="IDF_PLOT" sheetId="12" r:id="rId6"/>
    <sheet name="IDF MONTANA" sheetId="11" r:id="rId7"/>
  </sheets>
  <definedNames>
    <definedName name="_xlnm._FilterDatabase" localSheetId="0" hidden="1">Max_An_non_triee!$F$7:$F$104</definedName>
    <definedName name="_xlnm._FilterDatabase" localSheetId="1" hidden="1">'Valeurs Maximales Annuelles'!$E$7:$F$104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1" l="1"/>
  <c r="C55" i="11" s="1"/>
  <c r="B56" i="11"/>
  <c r="C56" i="11" s="1"/>
  <c r="B57" i="11"/>
  <c r="C57" i="11" s="1"/>
  <c r="B58" i="11"/>
  <c r="C58" i="11" s="1"/>
  <c r="B59" i="11"/>
  <c r="C59" i="11" s="1"/>
  <c r="B54" i="11"/>
  <c r="C54" i="11" s="1"/>
  <c r="B47" i="11"/>
  <c r="B48" i="11"/>
  <c r="C48" i="11" s="1"/>
  <c r="B49" i="11"/>
  <c r="C49" i="11" s="1"/>
  <c r="B50" i="11"/>
  <c r="C50" i="11" s="1"/>
  <c r="B51" i="11"/>
  <c r="C51" i="11" s="1"/>
  <c r="B46" i="11"/>
  <c r="C46" i="11" s="1"/>
  <c r="C47" i="11"/>
  <c r="C17" i="11"/>
  <c r="C18" i="11"/>
  <c r="C15" i="11"/>
  <c r="B16" i="11"/>
  <c r="C16" i="11" s="1"/>
  <c r="B17" i="11"/>
  <c r="B18" i="11"/>
  <c r="B19" i="11"/>
  <c r="C19" i="11" s="1"/>
  <c r="B20" i="11"/>
  <c r="C20" i="11" s="1"/>
  <c r="B15" i="11"/>
  <c r="K7" i="9"/>
  <c r="J7" i="9"/>
  <c r="I7" i="9"/>
  <c r="H7" i="9"/>
  <c r="G7" i="9"/>
  <c r="F7" i="9"/>
  <c r="E36" i="9" l="1"/>
  <c r="BX11" i="7"/>
  <c r="AJ11" i="7"/>
  <c r="X11" i="7"/>
  <c r="J11" i="7"/>
  <c r="K11" i="7"/>
  <c r="D9" i="7"/>
  <c r="BR9" i="7"/>
  <c r="BQ9" i="7"/>
  <c r="BI45" i="7"/>
  <c r="BF45" i="7"/>
  <c r="BI44" i="7"/>
  <c r="BF44" i="7"/>
  <c r="BI43" i="7"/>
  <c r="BF43" i="7"/>
  <c r="BI42" i="7"/>
  <c r="BF42" i="7"/>
  <c r="BI41" i="7"/>
  <c r="BF41" i="7"/>
  <c r="BI40" i="7"/>
  <c r="BF40" i="7"/>
  <c r="BI39" i="7"/>
  <c r="BF39" i="7"/>
  <c r="BI38" i="7"/>
  <c r="BF38" i="7"/>
  <c r="BI37" i="7"/>
  <c r="BF37" i="7"/>
  <c r="BI36" i="7"/>
  <c r="BF36" i="7"/>
  <c r="BI35" i="7"/>
  <c r="BF35" i="7"/>
  <c r="BI34" i="7"/>
  <c r="BF34" i="7"/>
  <c r="BI33" i="7"/>
  <c r="BF33" i="7"/>
  <c r="BI32" i="7"/>
  <c r="BF32" i="7"/>
  <c r="BI31" i="7"/>
  <c r="BF31" i="7"/>
  <c r="BI30" i="7"/>
  <c r="BF30" i="7"/>
  <c r="BI29" i="7"/>
  <c r="BF29" i="7"/>
  <c r="BI28" i="7"/>
  <c r="BF28" i="7"/>
  <c r="BI27" i="7"/>
  <c r="BF27" i="7"/>
  <c r="BI26" i="7"/>
  <c r="BF26" i="7"/>
  <c r="BI25" i="7"/>
  <c r="BF25" i="7"/>
  <c r="BI24" i="7"/>
  <c r="BF24" i="7"/>
  <c r="BI23" i="7"/>
  <c r="BF23" i="7"/>
  <c r="BI22" i="7"/>
  <c r="BF22" i="7"/>
  <c r="BI21" i="7"/>
  <c r="BF21" i="7"/>
  <c r="BI20" i="7"/>
  <c r="BF20" i="7"/>
  <c r="BI19" i="7"/>
  <c r="BF19" i="7"/>
  <c r="BI18" i="7"/>
  <c r="BF18" i="7"/>
  <c r="BI17" i="7"/>
  <c r="BF17" i="7"/>
  <c r="BI16" i="7"/>
  <c r="BF16" i="7"/>
  <c r="BI15" i="7"/>
  <c r="BF15" i="7"/>
  <c r="BI14" i="7"/>
  <c r="BF14" i="7"/>
  <c r="BI13" i="7"/>
  <c r="BF13" i="7"/>
  <c r="BI12" i="7"/>
  <c r="BF12" i="7"/>
  <c r="AV45" i="7"/>
  <c r="AS45" i="7"/>
  <c r="AV44" i="7"/>
  <c r="AS44" i="7"/>
  <c r="AV43" i="7"/>
  <c r="AS43" i="7"/>
  <c r="AV42" i="7"/>
  <c r="AS42" i="7"/>
  <c r="AV41" i="7"/>
  <c r="AS41" i="7"/>
  <c r="AV40" i="7"/>
  <c r="AS40" i="7"/>
  <c r="AV39" i="7"/>
  <c r="AS39" i="7"/>
  <c r="AV38" i="7"/>
  <c r="AS38" i="7"/>
  <c r="AV37" i="7"/>
  <c r="AS37" i="7"/>
  <c r="AV36" i="7"/>
  <c r="AS36" i="7"/>
  <c r="AV35" i="7"/>
  <c r="AS35" i="7"/>
  <c r="AV34" i="7"/>
  <c r="AS34" i="7"/>
  <c r="AV33" i="7"/>
  <c r="AS33" i="7"/>
  <c r="AV32" i="7"/>
  <c r="AS32" i="7"/>
  <c r="AV31" i="7"/>
  <c r="AS31" i="7"/>
  <c r="AV30" i="7"/>
  <c r="AS30" i="7"/>
  <c r="AV29" i="7"/>
  <c r="AS29" i="7"/>
  <c r="AV28" i="7"/>
  <c r="AS28" i="7"/>
  <c r="AV27" i="7"/>
  <c r="AS27" i="7"/>
  <c r="AV26" i="7"/>
  <c r="AS26" i="7"/>
  <c r="AV25" i="7"/>
  <c r="AS25" i="7"/>
  <c r="AV24" i="7"/>
  <c r="AS24" i="7"/>
  <c r="AV23" i="7"/>
  <c r="AS23" i="7"/>
  <c r="AV22" i="7"/>
  <c r="AS22" i="7"/>
  <c r="AV21" i="7"/>
  <c r="AS21" i="7"/>
  <c r="AV20" i="7"/>
  <c r="AS20" i="7"/>
  <c r="AV19" i="7"/>
  <c r="AS19" i="7"/>
  <c r="AV18" i="7"/>
  <c r="AS18" i="7"/>
  <c r="AV17" i="7"/>
  <c r="AS17" i="7"/>
  <c r="AV16" i="7"/>
  <c r="AS16" i="7"/>
  <c r="AV15" i="7"/>
  <c r="AS15" i="7"/>
  <c r="AV14" i="7"/>
  <c r="AS14" i="7"/>
  <c r="AV13" i="7"/>
  <c r="AS13" i="7"/>
  <c r="AV12" i="7"/>
  <c r="AS12" i="7"/>
  <c r="BQ7" i="7"/>
  <c r="BW11" i="7" s="1"/>
  <c r="BD7" i="7"/>
  <c r="BE9" i="7" s="1"/>
  <c r="AQ7" i="7"/>
  <c r="AR9" i="7" s="1"/>
  <c r="AI45" i="7"/>
  <c r="AF45" i="7"/>
  <c r="AI44" i="7"/>
  <c r="AF44" i="7"/>
  <c r="AI43" i="7"/>
  <c r="AF43" i="7"/>
  <c r="AI42" i="7"/>
  <c r="AF42" i="7"/>
  <c r="AI41" i="7"/>
  <c r="AF41" i="7"/>
  <c r="AI40" i="7"/>
  <c r="AF40" i="7"/>
  <c r="AI39" i="7"/>
  <c r="AF39" i="7"/>
  <c r="AI38" i="7"/>
  <c r="AF38" i="7"/>
  <c r="AI37" i="7"/>
  <c r="AF37" i="7"/>
  <c r="AI36" i="7"/>
  <c r="AF36" i="7"/>
  <c r="AI35" i="7"/>
  <c r="AF35" i="7"/>
  <c r="AI34" i="7"/>
  <c r="AF34" i="7"/>
  <c r="AI33" i="7"/>
  <c r="AF33" i="7"/>
  <c r="AI32" i="7"/>
  <c r="AF32" i="7"/>
  <c r="AI31" i="7"/>
  <c r="AF31" i="7"/>
  <c r="AI30" i="7"/>
  <c r="AF30" i="7"/>
  <c r="AI29" i="7"/>
  <c r="AF29" i="7"/>
  <c r="AI28" i="7"/>
  <c r="AF28" i="7"/>
  <c r="AI27" i="7"/>
  <c r="AF27" i="7"/>
  <c r="AI26" i="7"/>
  <c r="AF26" i="7"/>
  <c r="AI25" i="7"/>
  <c r="AF25" i="7"/>
  <c r="AI24" i="7"/>
  <c r="AF24" i="7"/>
  <c r="AI23" i="7"/>
  <c r="AF23" i="7"/>
  <c r="AI22" i="7"/>
  <c r="AF22" i="7"/>
  <c r="AI21" i="7"/>
  <c r="AF21" i="7"/>
  <c r="AI20" i="7"/>
  <c r="AF20" i="7"/>
  <c r="AI19" i="7"/>
  <c r="AF19" i="7"/>
  <c r="AI18" i="7"/>
  <c r="AF18" i="7"/>
  <c r="AI17" i="7"/>
  <c r="AF17" i="7"/>
  <c r="AI16" i="7"/>
  <c r="AF16" i="7"/>
  <c r="AI15" i="7"/>
  <c r="AF15" i="7"/>
  <c r="AI14" i="7"/>
  <c r="AF14" i="7"/>
  <c r="AI13" i="7"/>
  <c r="AF13" i="7"/>
  <c r="AI12" i="7"/>
  <c r="AF12" i="7"/>
  <c r="AD7" i="7"/>
  <c r="AD9" i="7" s="1"/>
  <c r="Q7" i="7"/>
  <c r="W11" i="7" s="1"/>
  <c r="V45" i="7"/>
  <c r="S45" i="7"/>
  <c r="V44" i="7"/>
  <c r="S44" i="7"/>
  <c r="V43" i="7"/>
  <c r="S43" i="7"/>
  <c r="V42" i="7"/>
  <c r="S42" i="7"/>
  <c r="V41" i="7"/>
  <c r="S41" i="7"/>
  <c r="V40" i="7"/>
  <c r="S40" i="7"/>
  <c r="V39" i="7"/>
  <c r="S39" i="7"/>
  <c r="V38" i="7"/>
  <c r="S38" i="7"/>
  <c r="V37" i="7"/>
  <c r="S37" i="7"/>
  <c r="V36" i="7"/>
  <c r="S36" i="7"/>
  <c r="V35" i="7"/>
  <c r="S35" i="7"/>
  <c r="V34" i="7"/>
  <c r="S34" i="7"/>
  <c r="V33" i="7"/>
  <c r="S33" i="7"/>
  <c r="V32" i="7"/>
  <c r="S32" i="7"/>
  <c r="V31" i="7"/>
  <c r="S31" i="7"/>
  <c r="V30" i="7"/>
  <c r="S30" i="7"/>
  <c r="V29" i="7"/>
  <c r="S29" i="7"/>
  <c r="V28" i="7"/>
  <c r="S28" i="7"/>
  <c r="V27" i="7"/>
  <c r="S27" i="7"/>
  <c r="V26" i="7"/>
  <c r="S26" i="7"/>
  <c r="V25" i="7"/>
  <c r="S25" i="7"/>
  <c r="V24" i="7"/>
  <c r="S24" i="7"/>
  <c r="V23" i="7"/>
  <c r="S23" i="7"/>
  <c r="V22" i="7"/>
  <c r="S22" i="7"/>
  <c r="V21" i="7"/>
  <c r="S21" i="7"/>
  <c r="V20" i="7"/>
  <c r="S20" i="7"/>
  <c r="V19" i="7"/>
  <c r="S19" i="7"/>
  <c r="V18" i="7"/>
  <c r="S18" i="7"/>
  <c r="V17" i="7"/>
  <c r="S17" i="7"/>
  <c r="V16" i="7"/>
  <c r="S16" i="7"/>
  <c r="V15" i="7"/>
  <c r="S15" i="7"/>
  <c r="V14" i="7"/>
  <c r="S14" i="7"/>
  <c r="V13" i="7"/>
  <c r="S13" i="7"/>
  <c r="V12" i="7"/>
  <c r="S12" i="7"/>
  <c r="D7" i="7"/>
  <c r="E9" i="7" s="1"/>
  <c r="O7" i="6" a="1"/>
  <c r="O7" i="6" s="1"/>
  <c r="P7" i="6" s="1"/>
  <c r="M7" i="6" a="1"/>
  <c r="M7" i="6" s="1"/>
  <c r="N7" i="6" s="1"/>
  <c r="K7" i="6" a="1"/>
  <c r="K7" i="6" s="1"/>
  <c r="L7" i="6" s="1"/>
  <c r="I7" i="6" a="1"/>
  <c r="I7" i="6" s="1"/>
  <c r="J7" i="6" s="1"/>
  <c r="G7" i="6" a="1"/>
  <c r="G7" i="6" s="1"/>
  <c r="H7" i="6" s="1"/>
  <c r="M2" i="6"/>
  <c r="K2" i="6"/>
  <c r="I2" i="6"/>
  <c r="G2" i="6"/>
  <c r="E2" i="6"/>
  <c r="E7" i="6" a="1"/>
  <c r="E7" i="6" s="1"/>
  <c r="F7" i="6" s="1"/>
  <c r="BJ11" i="7" l="1"/>
  <c r="BD9" i="7"/>
  <c r="BK11" i="7"/>
  <c r="P48" i="6"/>
  <c r="P66" i="6"/>
  <c r="P99" i="6"/>
  <c r="P97" i="6"/>
  <c r="P84" i="6"/>
  <c r="P71" i="6"/>
  <c r="P63" i="6"/>
  <c r="P50" i="6"/>
  <c r="P37" i="6"/>
  <c r="P29" i="6"/>
  <c r="P96" i="6"/>
  <c r="P83" i="6"/>
  <c r="P70" i="6"/>
  <c r="P62" i="6"/>
  <c r="P49" i="6"/>
  <c r="P36" i="6"/>
  <c r="P23" i="6"/>
  <c r="P15" i="6"/>
  <c r="P61" i="6"/>
  <c r="P102" i="6"/>
  <c r="P94" i="6"/>
  <c r="P81" i="6"/>
  <c r="P68" i="6"/>
  <c r="P55" i="6"/>
  <c r="P47" i="6"/>
  <c r="P34" i="6"/>
  <c r="P21" i="6"/>
  <c r="P13" i="6"/>
  <c r="P103" i="6"/>
  <c r="P101" i="6"/>
  <c r="P93" i="6"/>
  <c r="P80" i="6"/>
  <c r="P67" i="6"/>
  <c r="P54" i="6"/>
  <c r="P46" i="6"/>
  <c r="P33" i="6"/>
  <c r="P20" i="6"/>
  <c r="P82" i="6"/>
  <c r="P22" i="6"/>
  <c r="P79" i="6"/>
  <c r="P45" i="6"/>
  <c r="P32" i="6"/>
  <c r="P19" i="6"/>
  <c r="P69" i="6"/>
  <c r="P14" i="6"/>
  <c r="P87" i="6"/>
  <c r="P53" i="6"/>
  <c r="P86" i="6"/>
  <c r="P78" i="6"/>
  <c r="P65" i="6"/>
  <c r="P52" i="6"/>
  <c r="P39" i="6"/>
  <c r="P31" i="6"/>
  <c r="P18" i="6"/>
  <c r="P98" i="6"/>
  <c r="P85" i="6"/>
  <c r="P77" i="6"/>
  <c r="P64" i="6"/>
  <c r="P51" i="6"/>
  <c r="P38" i="6"/>
  <c r="P30" i="6"/>
  <c r="P17" i="6"/>
  <c r="P95" i="6"/>
  <c r="P35" i="6"/>
  <c r="P100" i="6"/>
  <c r="P16" i="6"/>
  <c r="N80" i="6"/>
  <c r="N16" i="6"/>
  <c r="N101" i="6"/>
  <c r="N65" i="6"/>
  <c r="N37" i="6"/>
  <c r="N100" i="6"/>
  <c r="N28" i="6"/>
  <c r="N84" i="6"/>
  <c r="N48" i="6"/>
  <c r="N20" i="6"/>
  <c r="N97" i="6"/>
  <c r="N83" i="6"/>
  <c r="N69" i="6"/>
  <c r="N61" i="6"/>
  <c r="N47" i="6"/>
  <c r="N33" i="6"/>
  <c r="N19" i="6"/>
  <c r="N66" i="6"/>
  <c r="N30" i="6"/>
  <c r="N51" i="6"/>
  <c r="N29" i="6"/>
  <c r="N78" i="6"/>
  <c r="N36" i="6"/>
  <c r="N98" i="6"/>
  <c r="N62" i="6"/>
  <c r="N34" i="6"/>
  <c r="N96" i="6"/>
  <c r="N82" i="6"/>
  <c r="N68" i="6"/>
  <c r="N60" i="6"/>
  <c r="N46" i="6"/>
  <c r="N32" i="6"/>
  <c r="N18" i="6"/>
  <c r="N94" i="6"/>
  <c r="N44" i="6"/>
  <c r="N93" i="6"/>
  <c r="N15" i="6"/>
  <c r="N92" i="6"/>
  <c r="N50" i="6"/>
  <c r="N76" i="6"/>
  <c r="N12" i="6"/>
  <c r="N95" i="6"/>
  <c r="N81" i="6"/>
  <c r="N67" i="6"/>
  <c r="N53" i="6"/>
  <c r="N45" i="6"/>
  <c r="N31" i="6"/>
  <c r="N17" i="6"/>
  <c r="N52" i="6"/>
  <c r="N79" i="6"/>
  <c r="N64" i="6"/>
  <c r="N14" i="6"/>
  <c r="N99" i="6"/>
  <c r="N85" i="6"/>
  <c r="N77" i="6"/>
  <c r="N63" i="6"/>
  <c r="N49" i="6"/>
  <c r="N35" i="6"/>
  <c r="N21" i="6"/>
  <c r="N13" i="6"/>
  <c r="AW11" i="7"/>
  <c r="AQ9" i="7"/>
  <c r="AX11" i="7"/>
  <c r="J45" i="6"/>
  <c r="J82" i="6"/>
  <c r="J42" i="6"/>
  <c r="J15" i="6"/>
  <c r="J43" i="6"/>
  <c r="J103" i="6"/>
  <c r="J102" i="6"/>
  <c r="J62" i="6"/>
  <c r="J41" i="6"/>
  <c r="J85" i="6"/>
  <c r="J101" i="6"/>
  <c r="J61" i="6"/>
  <c r="J39" i="6"/>
  <c r="J89" i="6"/>
  <c r="J59" i="6"/>
  <c r="J19" i="6"/>
  <c r="J83" i="6"/>
  <c r="J87" i="6"/>
  <c r="J58" i="6"/>
  <c r="J18" i="6"/>
  <c r="J86" i="6"/>
  <c r="J46" i="6"/>
  <c r="J17" i="6"/>
  <c r="AK11" i="7"/>
  <c r="Q9" i="7"/>
  <c r="R9" i="7"/>
  <c r="AE9" i="7"/>
  <c r="J81" i="6"/>
  <c r="J38" i="6"/>
  <c r="J79" i="6"/>
  <c r="J37" i="6"/>
  <c r="J67" i="6"/>
  <c r="J25" i="6"/>
  <c r="J66" i="6"/>
  <c r="J23" i="6"/>
  <c r="J65" i="6"/>
  <c r="J22" i="6"/>
  <c r="J63" i="6"/>
  <c r="J21" i="6"/>
  <c r="H22" i="6"/>
  <c r="H10" i="6"/>
  <c r="N91" i="6"/>
  <c r="N75" i="6"/>
  <c r="N59" i="6"/>
  <c r="N43" i="6"/>
  <c r="N27" i="6"/>
  <c r="N11" i="6"/>
  <c r="N90" i="6"/>
  <c r="N74" i="6"/>
  <c r="N58" i="6"/>
  <c r="N42" i="6"/>
  <c r="N26" i="6"/>
  <c r="N10" i="6"/>
  <c r="P92" i="6"/>
  <c r="P76" i="6"/>
  <c r="P60" i="6"/>
  <c r="P44" i="6"/>
  <c r="P28" i="6"/>
  <c r="P12" i="6"/>
  <c r="N89" i="6"/>
  <c r="N73" i="6"/>
  <c r="N57" i="6"/>
  <c r="N41" i="6"/>
  <c r="N25" i="6"/>
  <c r="N9" i="6"/>
  <c r="P91" i="6"/>
  <c r="P75" i="6"/>
  <c r="P59" i="6"/>
  <c r="P43" i="6"/>
  <c r="P27" i="6"/>
  <c r="P11" i="6"/>
  <c r="N104" i="6"/>
  <c r="N88" i="6"/>
  <c r="N72" i="6"/>
  <c r="N56" i="6"/>
  <c r="N40" i="6"/>
  <c r="N24" i="6"/>
  <c r="N8" i="6"/>
  <c r="P90" i="6"/>
  <c r="P74" i="6"/>
  <c r="P58" i="6"/>
  <c r="P42" i="6"/>
  <c r="P26" i="6"/>
  <c r="P10" i="6"/>
  <c r="N103" i="6"/>
  <c r="N87" i="6"/>
  <c r="N71" i="6"/>
  <c r="N55" i="6"/>
  <c r="N39" i="6"/>
  <c r="N23" i="6"/>
  <c r="P89" i="6"/>
  <c r="P73" i="6"/>
  <c r="P57" i="6"/>
  <c r="P41" i="6"/>
  <c r="P25" i="6"/>
  <c r="P9" i="6"/>
  <c r="N102" i="6"/>
  <c r="N86" i="6"/>
  <c r="N70" i="6"/>
  <c r="N54" i="6"/>
  <c r="N38" i="6"/>
  <c r="N22" i="6"/>
  <c r="P104" i="6"/>
  <c r="P88" i="6"/>
  <c r="P72" i="6"/>
  <c r="P56" i="6"/>
  <c r="P40" i="6"/>
  <c r="P24" i="6"/>
  <c r="P8" i="6"/>
  <c r="J99" i="6"/>
  <c r="J78" i="6"/>
  <c r="J57" i="6"/>
  <c r="J35" i="6"/>
  <c r="J14" i="6"/>
  <c r="J98" i="6"/>
  <c r="J77" i="6"/>
  <c r="J55" i="6"/>
  <c r="J34" i="6"/>
  <c r="J13" i="6"/>
  <c r="J97" i="6"/>
  <c r="J75" i="6"/>
  <c r="J54" i="6"/>
  <c r="J33" i="6"/>
  <c r="J11" i="6"/>
  <c r="J95" i="6"/>
  <c r="J74" i="6"/>
  <c r="J53" i="6"/>
  <c r="J31" i="6"/>
  <c r="J10" i="6"/>
  <c r="J94" i="6"/>
  <c r="J73" i="6"/>
  <c r="J51" i="6"/>
  <c r="J30" i="6"/>
  <c r="J9" i="6"/>
  <c r="J93" i="6"/>
  <c r="J71" i="6"/>
  <c r="J50" i="6"/>
  <c r="J29" i="6"/>
  <c r="J91" i="6"/>
  <c r="J70" i="6"/>
  <c r="J49" i="6"/>
  <c r="J27" i="6"/>
  <c r="J90" i="6"/>
  <c r="J69" i="6"/>
  <c r="J47" i="6"/>
  <c r="J26" i="6"/>
  <c r="L68" i="6"/>
  <c r="L99" i="6"/>
  <c r="L67" i="6"/>
  <c r="L35" i="6"/>
  <c r="L66" i="6"/>
  <c r="L18" i="6"/>
  <c r="L81" i="6"/>
  <c r="L49" i="6"/>
  <c r="L33" i="6"/>
  <c r="L96" i="6"/>
  <c r="L64" i="6"/>
  <c r="L16" i="6"/>
  <c r="L95" i="6"/>
  <c r="L31" i="6"/>
  <c r="L94" i="6"/>
  <c r="L62" i="6"/>
  <c r="L30" i="6"/>
  <c r="L93" i="6"/>
  <c r="L45" i="6"/>
  <c r="L60" i="6"/>
  <c r="L12" i="6"/>
  <c r="L27" i="6"/>
  <c r="L58" i="6"/>
  <c r="L104" i="6"/>
  <c r="L24" i="6"/>
  <c r="L23" i="6"/>
  <c r="L100" i="6"/>
  <c r="L84" i="6"/>
  <c r="L52" i="6"/>
  <c r="L36" i="6"/>
  <c r="L20" i="6"/>
  <c r="L83" i="6"/>
  <c r="L51" i="6"/>
  <c r="L19" i="6"/>
  <c r="L98" i="6"/>
  <c r="L82" i="6"/>
  <c r="L50" i="6"/>
  <c r="L34" i="6"/>
  <c r="L97" i="6"/>
  <c r="L65" i="6"/>
  <c r="L17" i="6"/>
  <c r="L80" i="6"/>
  <c r="L48" i="6"/>
  <c r="L32" i="6"/>
  <c r="L79" i="6"/>
  <c r="L63" i="6"/>
  <c r="L47" i="6"/>
  <c r="L15" i="6"/>
  <c r="L78" i="6"/>
  <c r="L46" i="6"/>
  <c r="L14" i="6"/>
  <c r="L77" i="6"/>
  <c r="L61" i="6"/>
  <c r="L29" i="6"/>
  <c r="L13" i="6"/>
  <c r="L92" i="6"/>
  <c r="L76" i="6"/>
  <c r="L44" i="6"/>
  <c r="L28" i="6"/>
  <c r="L75" i="6"/>
  <c r="L59" i="6"/>
  <c r="L11" i="6"/>
  <c r="L74" i="6"/>
  <c r="L26" i="6"/>
  <c r="L25" i="6"/>
  <c r="L40" i="6"/>
  <c r="L22" i="6"/>
  <c r="L91" i="6"/>
  <c r="L43" i="6"/>
  <c r="L90" i="6"/>
  <c r="L42" i="6"/>
  <c r="L10" i="6"/>
  <c r="L89" i="6"/>
  <c r="L73" i="6"/>
  <c r="L57" i="6"/>
  <c r="L41" i="6"/>
  <c r="L9" i="6"/>
  <c r="L88" i="6"/>
  <c r="L72" i="6"/>
  <c r="L56" i="6"/>
  <c r="L8" i="6"/>
  <c r="L103" i="6"/>
  <c r="L87" i="6"/>
  <c r="L71" i="6"/>
  <c r="L55" i="6"/>
  <c r="L39" i="6"/>
  <c r="L102" i="6"/>
  <c r="L86" i="6"/>
  <c r="L70" i="6"/>
  <c r="L54" i="6"/>
  <c r="L38" i="6"/>
  <c r="L101" i="6"/>
  <c r="L85" i="6"/>
  <c r="L69" i="6"/>
  <c r="L53" i="6"/>
  <c r="L37" i="6"/>
  <c r="L21" i="6"/>
  <c r="H102" i="6"/>
  <c r="H88" i="6"/>
  <c r="H74" i="6"/>
  <c r="H59" i="6"/>
  <c r="H46" i="6"/>
  <c r="H31" i="6"/>
  <c r="H100" i="6"/>
  <c r="H86" i="6"/>
  <c r="H72" i="6"/>
  <c r="H58" i="6"/>
  <c r="H43" i="6"/>
  <c r="H30" i="6"/>
  <c r="H20" i="6"/>
  <c r="H8" i="6"/>
  <c r="H95" i="6"/>
  <c r="H80" i="6"/>
  <c r="H67" i="6"/>
  <c r="H52" i="6"/>
  <c r="H38" i="6"/>
  <c r="H27" i="6"/>
  <c r="H16" i="6"/>
  <c r="H94" i="6"/>
  <c r="H79" i="6"/>
  <c r="H64" i="6"/>
  <c r="H51" i="6"/>
  <c r="H36" i="6"/>
  <c r="H24" i="6"/>
  <c r="H15" i="6"/>
  <c r="H99" i="6"/>
  <c r="H91" i="6"/>
  <c r="H84" i="6"/>
  <c r="H78" i="6"/>
  <c r="H70" i="6"/>
  <c r="H63" i="6"/>
  <c r="H56" i="6"/>
  <c r="H48" i="6"/>
  <c r="H42" i="6"/>
  <c r="H35" i="6"/>
  <c r="H14" i="6"/>
  <c r="H104" i="6"/>
  <c r="H96" i="6"/>
  <c r="H90" i="6"/>
  <c r="H83" i="6"/>
  <c r="H75" i="6"/>
  <c r="H68" i="6"/>
  <c r="H62" i="6"/>
  <c r="H54" i="6"/>
  <c r="H47" i="6"/>
  <c r="H40" i="6"/>
  <c r="H32" i="6"/>
  <c r="H26" i="6"/>
  <c r="H19" i="6"/>
  <c r="H11" i="6"/>
  <c r="H103" i="6"/>
  <c r="H98" i="6"/>
  <c r="H92" i="6"/>
  <c r="H87" i="6"/>
  <c r="H82" i="6"/>
  <c r="H76" i="6"/>
  <c r="H71" i="6"/>
  <c r="H66" i="6"/>
  <c r="H60" i="6"/>
  <c r="H55" i="6"/>
  <c r="H50" i="6"/>
  <c r="H44" i="6"/>
  <c r="H39" i="6"/>
  <c r="H34" i="6"/>
  <c r="H28" i="6"/>
  <c r="H23" i="6"/>
  <c r="H18" i="6"/>
  <c r="H12" i="6"/>
  <c r="J104" i="6"/>
  <c r="J100" i="6"/>
  <c r="J96" i="6"/>
  <c r="J92" i="6"/>
  <c r="J88" i="6"/>
  <c r="J84" i="6"/>
  <c r="J80" i="6"/>
  <c r="J76" i="6"/>
  <c r="J72" i="6"/>
  <c r="J68" i="6"/>
  <c r="J64" i="6"/>
  <c r="J60" i="6"/>
  <c r="J56" i="6"/>
  <c r="J52" i="6"/>
  <c r="J48" i="6"/>
  <c r="J44" i="6"/>
  <c r="J40" i="6"/>
  <c r="J36" i="6"/>
  <c r="J32" i="6"/>
  <c r="J28" i="6"/>
  <c r="J24" i="6"/>
  <c r="J20" i="6"/>
  <c r="J16" i="6"/>
  <c r="J12" i="6"/>
  <c r="J8" i="6"/>
  <c r="H101" i="6"/>
  <c r="H97" i="6"/>
  <c r="H93" i="6"/>
  <c r="H89" i="6"/>
  <c r="H85" i="6"/>
  <c r="H81" i="6"/>
  <c r="H77" i="6"/>
  <c r="H73" i="6"/>
  <c r="H69" i="6"/>
  <c r="H65" i="6"/>
  <c r="H61" i="6"/>
  <c r="H57" i="6"/>
  <c r="H53" i="6"/>
  <c r="H49" i="6"/>
  <c r="H45" i="6"/>
  <c r="H41" i="6"/>
  <c r="H37" i="6"/>
  <c r="H33" i="6"/>
  <c r="H29" i="6"/>
  <c r="H25" i="6"/>
  <c r="H21" i="6"/>
  <c r="H17" i="6"/>
  <c r="H13" i="6"/>
  <c r="H9" i="6"/>
  <c r="F97" i="6"/>
  <c r="F88" i="6"/>
  <c r="F77" i="6"/>
  <c r="F65" i="6"/>
  <c r="F56" i="6"/>
  <c r="F45" i="6"/>
  <c r="F33" i="6"/>
  <c r="F24" i="6"/>
  <c r="F13" i="6"/>
  <c r="F96" i="6"/>
  <c r="F85" i="6"/>
  <c r="F73" i="6"/>
  <c r="F64" i="6"/>
  <c r="F53" i="6"/>
  <c r="F41" i="6"/>
  <c r="F32" i="6"/>
  <c r="F21" i="6"/>
  <c r="F9" i="6"/>
  <c r="F104" i="6"/>
  <c r="F93" i="6"/>
  <c r="F81" i="6"/>
  <c r="F72" i="6"/>
  <c r="F61" i="6"/>
  <c r="F49" i="6"/>
  <c r="F40" i="6"/>
  <c r="F29" i="6"/>
  <c r="F17" i="6"/>
  <c r="F8" i="6"/>
  <c r="F101" i="6"/>
  <c r="F89" i="6"/>
  <c r="F80" i="6"/>
  <c r="F69" i="6"/>
  <c r="F57" i="6"/>
  <c r="F48" i="6"/>
  <c r="F37" i="6"/>
  <c r="F25" i="6"/>
  <c r="F16" i="6"/>
  <c r="F100" i="6"/>
  <c r="F92" i="6"/>
  <c r="F84" i="6"/>
  <c r="F76" i="6"/>
  <c r="F68" i="6"/>
  <c r="F60" i="6"/>
  <c r="F52" i="6"/>
  <c r="F44" i="6"/>
  <c r="F36" i="6"/>
  <c r="F28" i="6"/>
  <c r="F20" i="6"/>
  <c r="F12" i="6"/>
  <c r="F103" i="6"/>
  <c r="F99" i="6"/>
  <c r="F95" i="6"/>
  <c r="F91" i="6"/>
  <c r="F87" i="6"/>
  <c r="F83" i="6"/>
  <c r="F79" i="6"/>
  <c r="F75" i="6"/>
  <c r="F71" i="6"/>
  <c r="F67" i="6"/>
  <c r="F63" i="6"/>
  <c r="F59" i="6"/>
  <c r="F55" i="6"/>
  <c r="F51" i="6"/>
  <c r="F47" i="6"/>
  <c r="F43" i="6"/>
  <c r="F39" i="6"/>
  <c r="F35" i="6"/>
  <c r="F31" i="6"/>
  <c r="F27" i="6"/>
  <c r="F23" i="6"/>
  <c r="F19" i="6"/>
  <c r="F15" i="6"/>
  <c r="F11" i="6"/>
  <c r="F102" i="6"/>
  <c r="F98" i="6"/>
  <c r="F94" i="6"/>
  <c r="F90" i="6"/>
  <c r="F86" i="6"/>
  <c r="F82" i="6"/>
  <c r="F78" i="6"/>
  <c r="F74" i="6"/>
  <c r="F70" i="6"/>
  <c r="F66" i="6"/>
  <c r="F62" i="6"/>
  <c r="F58" i="6"/>
  <c r="F54" i="6"/>
  <c r="F50" i="6"/>
  <c r="F46" i="6"/>
  <c r="F42" i="6"/>
  <c r="F38" i="6"/>
  <c r="F34" i="6"/>
  <c r="F30" i="6"/>
  <c r="F26" i="6"/>
  <c r="F22" i="6"/>
  <c r="F18" i="6"/>
  <c r="F14" i="6"/>
  <c r="F10" i="6"/>
  <c r="AQ14" i="7" l="1"/>
  <c r="E43" i="9"/>
  <c r="E44" i="9"/>
  <c r="E45" i="9"/>
  <c r="E46" i="9"/>
  <c r="E47" i="9"/>
  <c r="E48" i="9"/>
  <c r="E37" i="9"/>
  <c r="E38" i="9"/>
  <c r="E39" i="9"/>
  <c r="E40" i="9"/>
  <c r="E41" i="9"/>
  <c r="AD12" i="7"/>
  <c r="AQ13" i="7"/>
  <c r="BD14" i="7"/>
  <c r="AQ15" i="7"/>
  <c r="BD15" i="7"/>
  <c r="Q16" i="7"/>
  <c r="AD16" i="7"/>
  <c r="AQ16" i="7"/>
  <c r="Q17" i="7"/>
  <c r="AD17" i="7"/>
  <c r="AQ17" i="7"/>
  <c r="Q18" i="7"/>
  <c r="BQ18" i="7"/>
  <c r="AD19" i="7"/>
  <c r="D20" i="7"/>
  <c r="Q20" i="7"/>
  <c r="AD20" i="7"/>
  <c r="BD20" i="7"/>
  <c r="BD21" i="7"/>
  <c r="Q22" i="7"/>
  <c r="AD22" i="7"/>
  <c r="BD22" i="7"/>
  <c r="D23" i="7"/>
  <c r="Q23" i="7"/>
  <c r="AQ23" i="7"/>
  <c r="BD23" i="7"/>
  <c r="BQ23" i="7"/>
  <c r="Q24" i="7"/>
  <c r="AQ24" i="7"/>
  <c r="Q25" i="7"/>
  <c r="AD25" i="7"/>
  <c r="AQ25" i="7"/>
  <c r="Q26" i="7"/>
  <c r="AD26" i="7"/>
  <c r="BQ26" i="7"/>
  <c r="Q27" i="7"/>
  <c r="AD27" i="7"/>
  <c r="D28" i="7"/>
  <c r="AD28" i="7"/>
  <c r="AQ28" i="7"/>
  <c r="BD28" i="7"/>
  <c r="BQ28" i="7"/>
  <c r="AD29" i="7"/>
  <c r="BD29" i="7"/>
  <c r="AD30" i="7"/>
  <c r="AQ30" i="7"/>
  <c r="BD30" i="7"/>
  <c r="Q31" i="7"/>
  <c r="AQ31" i="7"/>
  <c r="BQ31" i="7"/>
  <c r="D25" i="7"/>
  <c r="C26" i="11"/>
  <c r="D8" i="11"/>
  <c r="D44" i="11" s="1"/>
  <c r="E8" i="11"/>
  <c r="E44" i="11" s="1"/>
  <c r="F8" i="11"/>
  <c r="F44" i="11" s="1"/>
  <c r="G8" i="11"/>
  <c r="G44" i="11" s="1"/>
  <c r="H8" i="11"/>
  <c r="H44" i="11" s="1"/>
  <c r="I8" i="11"/>
  <c r="I44" i="11" s="1"/>
  <c r="D9" i="11"/>
  <c r="E9" i="11"/>
  <c r="F9" i="11"/>
  <c r="G9" i="11"/>
  <c r="H9" i="11"/>
  <c r="I9" i="11"/>
  <c r="K15" i="9"/>
  <c r="K16" i="9" s="1"/>
  <c r="F12" i="7"/>
  <c r="I12" i="7"/>
  <c r="BS12" i="7"/>
  <c r="BV12" i="7"/>
  <c r="C27" i="11"/>
  <c r="C28" i="11"/>
  <c r="C29" i="11"/>
  <c r="C30" i="11"/>
  <c r="C25" i="11"/>
  <c r="D19" i="7" l="1"/>
  <c r="D29" i="7"/>
  <c r="D26" i="7"/>
  <c r="D18" i="7"/>
  <c r="Q12" i="7"/>
  <c r="Q19" i="7"/>
  <c r="Q15" i="7"/>
  <c r="Q30" i="7"/>
  <c r="Q14" i="7"/>
  <c r="Q28" i="7"/>
  <c r="Q29" i="7"/>
  <c r="Q13" i="7"/>
  <c r="Q21" i="7"/>
  <c r="AD24" i="7"/>
  <c r="AD21" i="7"/>
  <c r="AD14" i="7"/>
  <c r="AD13" i="7"/>
  <c r="AD18" i="7"/>
  <c r="AD31" i="7"/>
  <c r="AD23" i="7"/>
  <c r="AD15" i="7"/>
  <c r="AQ22" i="7"/>
  <c r="AQ27" i="7"/>
  <c r="AQ19" i="7"/>
  <c r="AQ20" i="7"/>
  <c r="AQ12" i="7"/>
  <c r="AQ29" i="7"/>
  <c r="AQ21" i="7"/>
  <c r="AQ26" i="7"/>
  <c r="AQ18" i="7"/>
  <c r="BD25" i="7"/>
  <c r="BD27" i="7"/>
  <c r="BD19" i="7"/>
  <c r="BD16" i="7"/>
  <c r="BD12" i="7"/>
  <c r="D15" i="7"/>
  <c r="D17" i="7"/>
  <c r="D13" i="7"/>
  <c r="D30" i="7"/>
  <c r="D22" i="7"/>
  <c r="D14" i="7"/>
  <c r="D21" i="7"/>
  <c r="D27" i="7"/>
  <c r="D31" i="7"/>
  <c r="D24" i="7"/>
  <c r="D16" i="7"/>
  <c r="BQ15" i="7"/>
  <c r="BD17" i="7"/>
  <c r="BD24" i="7"/>
  <c r="BD26" i="7"/>
  <c r="BD31" i="7"/>
  <c r="BD18" i="7"/>
  <c r="BD13" i="7"/>
  <c r="BQ20" i="7"/>
  <c r="BQ22" i="7"/>
  <c r="BQ14" i="7"/>
  <c r="BQ29" i="7"/>
  <c r="BQ21" i="7"/>
  <c r="BQ13" i="7"/>
  <c r="BQ12" i="7"/>
  <c r="BQ25" i="7"/>
  <c r="BQ30" i="7"/>
  <c r="BQ17" i="7"/>
  <c r="BQ27" i="7"/>
  <c r="BQ19" i="7"/>
  <c r="BQ24" i="7"/>
  <c r="BQ16" i="7"/>
  <c r="N99" i="7" l="1"/>
  <c r="N93" i="7"/>
  <c r="N90" i="7"/>
  <c r="N89" i="7"/>
  <c r="N88" i="7"/>
  <c r="N91" i="7"/>
  <c r="N97" i="7"/>
  <c r="N105" i="7"/>
  <c r="N107" i="7"/>
  <c r="N108" i="7"/>
  <c r="N98" i="7"/>
  <c r="N109" i="7"/>
  <c r="N95" i="7"/>
  <c r="N106" i="7"/>
  <c r="N92" i="7"/>
  <c r="N102" i="7"/>
  <c r="N94" i="7"/>
  <c r="N101" i="7"/>
  <c r="N96" i="7"/>
  <c r="N103" i="7"/>
  <c r="N104" i="7"/>
  <c r="N100" i="7"/>
  <c r="N87" i="7"/>
  <c r="AD1" i="7"/>
  <c r="BN31" i="7"/>
  <c r="BQ2" i="7"/>
  <c r="BQ4" i="7" s="1"/>
  <c r="K8" i="9" s="1"/>
  <c r="BQ1" i="7"/>
  <c r="AN23" i="7"/>
  <c r="AD2" i="7"/>
  <c r="AD4" i="7" s="1"/>
  <c r="Q1" i="7"/>
  <c r="Q2" i="7"/>
  <c r="Q4" i="7" s="1"/>
  <c r="BN18" i="7"/>
  <c r="AQ2" i="7"/>
  <c r="AQ4" i="7" s="1"/>
  <c r="AQ1" i="7"/>
  <c r="BD2" i="7"/>
  <c r="BD4" i="7" s="1"/>
  <c r="J8" i="9" s="1"/>
  <c r="BD1" i="7"/>
  <c r="BA18" i="7"/>
  <c r="BA30" i="7"/>
  <c r="AN16" i="7"/>
  <c r="AN13" i="7"/>
  <c r="BN30" i="7"/>
  <c r="AN20" i="7"/>
  <c r="BN26" i="7"/>
  <c r="AN26" i="7"/>
  <c r="BA16" i="7"/>
  <c r="AN30" i="7"/>
  <c r="BN20" i="7"/>
  <c r="BA24" i="7"/>
  <c r="AN21" i="7"/>
  <c r="AN19" i="7"/>
  <c r="BA15" i="7"/>
  <c r="AN31" i="7"/>
  <c r="BA12" i="7"/>
  <c r="BA31" i="7"/>
  <c r="BA26" i="7"/>
  <c r="BA14" i="7"/>
  <c r="AN14" i="7"/>
  <c r="BN19" i="7"/>
  <c r="BN12" i="7"/>
  <c r="BQ8" i="7"/>
  <c r="AN29" i="7"/>
  <c r="AN27" i="7"/>
  <c r="AN25" i="7"/>
  <c r="BN14" i="7"/>
  <c r="AN24" i="7"/>
  <c r="BN25" i="7"/>
  <c r="BN16" i="7"/>
  <c r="BA25" i="7"/>
  <c r="BA22" i="7"/>
  <c r="BA29" i="7"/>
  <c r="BN28" i="7"/>
  <c r="BN27" i="7"/>
  <c r="BN24" i="7"/>
  <c r="BN13" i="7"/>
  <c r="BA20" i="7"/>
  <c r="BN15" i="7"/>
  <c r="AN18" i="7"/>
  <c r="AN17" i="7"/>
  <c r="AN12" i="7"/>
  <c r="BN22" i="7"/>
  <c r="BA21" i="7"/>
  <c r="AN28" i="7"/>
  <c r="BA19" i="7"/>
  <c r="BA27" i="7"/>
  <c r="BN21" i="7"/>
  <c r="BA28" i="7"/>
  <c r="AN15" i="7"/>
  <c r="BN17" i="7"/>
  <c r="BN29" i="7"/>
  <c r="BA13" i="7"/>
  <c r="BA17" i="7"/>
  <c r="AN22" i="7"/>
  <c r="BA23" i="7"/>
  <c r="BN23" i="7"/>
  <c r="N64" i="7"/>
  <c r="N20" i="7"/>
  <c r="N57" i="7"/>
  <c r="AA29" i="7"/>
  <c r="N47" i="7"/>
  <c r="N66" i="7"/>
  <c r="N53" i="7"/>
  <c r="N40" i="7"/>
  <c r="N33" i="7"/>
  <c r="AA14" i="7"/>
  <c r="N81" i="7"/>
  <c r="N42" i="7"/>
  <c r="N30" i="7"/>
  <c r="AA24" i="7"/>
  <c r="N24" i="7"/>
  <c r="N80" i="7"/>
  <c r="AA18" i="7"/>
  <c r="N73" i="7"/>
  <c r="N75" i="7"/>
  <c r="N36" i="7"/>
  <c r="AA20" i="7"/>
  <c r="AA26" i="7"/>
  <c r="N62" i="7"/>
  <c r="N39" i="7"/>
  <c r="AA22" i="7"/>
  <c r="N35" i="7"/>
  <c r="N74" i="7"/>
  <c r="N31" i="7"/>
  <c r="N65" i="7"/>
  <c r="N61" i="7"/>
  <c r="N54" i="7"/>
  <c r="N52" i="7"/>
  <c r="AA27" i="7"/>
  <c r="N78" i="7"/>
  <c r="N23" i="7"/>
  <c r="N13" i="7"/>
  <c r="N15" i="7"/>
  <c r="BD8" i="7"/>
  <c r="N67" i="7"/>
  <c r="N41" i="7"/>
  <c r="N16" i="7"/>
  <c r="N76" i="7"/>
  <c r="N17" i="7"/>
  <c r="N70" i="7"/>
  <c r="AA16" i="7"/>
  <c r="AA21" i="7"/>
  <c r="N14" i="7"/>
  <c r="N79" i="7"/>
  <c r="N21" i="7"/>
  <c r="N68" i="7"/>
  <c r="N49" i="7"/>
  <c r="AA28" i="7"/>
  <c r="N58" i="7"/>
  <c r="AA12" i="7"/>
  <c r="N83" i="7"/>
  <c r="N32" i="7"/>
  <c r="N48" i="7"/>
  <c r="N44" i="7"/>
  <c r="AA13" i="7"/>
  <c r="N55" i="7"/>
  <c r="N60" i="7"/>
  <c r="N25" i="7"/>
  <c r="AA30" i="7"/>
  <c r="N82" i="7"/>
  <c r="AA15" i="7"/>
  <c r="AA31" i="7"/>
  <c r="N29" i="7"/>
  <c r="N51" i="7"/>
  <c r="N19" i="7"/>
  <c r="N56" i="7"/>
  <c r="N77" i="7"/>
  <c r="N59" i="7"/>
  <c r="AA25" i="7"/>
  <c r="N27" i="7"/>
  <c r="AA19" i="7"/>
  <c r="N46" i="7"/>
  <c r="N43" i="7"/>
  <c r="N50" i="7"/>
  <c r="AA23" i="7"/>
  <c r="Q8" i="7"/>
  <c r="N85" i="7"/>
  <c r="N84" i="7"/>
  <c r="N86" i="7"/>
  <c r="N12" i="7"/>
  <c r="N22" i="7"/>
  <c r="N34" i="7"/>
  <c r="N71" i="7"/>
  <c r="AA17" i="7"/>
  <c r="N63" i="7"/>
  <c r="N69" i="7"/>
  <c r="AD8" i="7"/>
  <c r="N37" i="7"/>
  <c r="N72" i="7"/>
  <c r="N26" i="7"/>
  <c r="N18" i="7"/>
  <c r="AQ8" i="7"/>
  <c r="N28" i="7"/>
  <c r="N38" i="7"/>
  <c r="N45" i="7"/>
  <c r="BV45" i="7"/>
  <c r="BS45" i="7"/>
  <c r="BV44" i="7"/>
  <c r="BS44" i="7"/>
  <c r="BV43" i="7"/>
  <c r="BS43" i="7"/>
  <c r="BV42" i="7"/>
  <c r="BS42" i="7"/>
  <c r="BV41" i="7"/>
  <c r="BS41" i="7"/>
  <c r="BV40" i="7"/>
  <c r="BS40" i="7"/>
  <c r="BV39" i="7"/>
  <c r="BS39" i="7"/>
  <c r="BV38" i="7"/>
  <c r="BS38" i="7"/>
  <c r="BV37" i="7"/>
  <c r="BS37" i="7"/>
  <c r="BV36" i="7"/>
  <c r="BS36" i="7"/>
  <c r="BV35" i="7"/>
  <c r="BS35" i="7"/>
  <c r="BV34" i="7"/>
  <c r="BS34" i="7"/>
  <c r="BV33" i="7"/>
  <c r="BS33" i="7"/>
  <c r="BV32" i="7"/>
  <c r="BS32" i="7"/>
  <c r="BV31" i="7"/>
  <c r="BS31" i="7"/>
  <c r="BV30" i="7"/>
  <c r="BS30" i="7"/>
  <c r="BV29" i="7"/>
  <c r="BS29" i="7"/>
  <c r="BV28" i="7"/>
  <c r="BS28" i="7"/>
  <c r="BV27" i="7"/>
  <c r="BS27" i="7"/>
  <c r="BV26" i="7"/>
  <c r="BS26" i="7"/>
  <c r="BV25" i="7"/>
  <c r="BS25" i="7"/>
  <c r="BV24" i="7"/>
  <c r="BS24" i="7"/>
  <c r="BV23" i="7"/>
  <c r="BS23" i="7"/>
  <c r="BV22" i="7"/>
  <c r="BS22" i="7"/>
  <c r="BV21" i="7"/>
  <c r="BS21" i="7"/>
  <c r="BV20" i="7"/>
  <c r="BS20" i="7"/>
  <c r="BV19" i="7"/>
  <c r="BS19" i="7"/>
  <c r="BV18" i="7"/>
  <c r="BS18" i="7"/>
  <c r="BV17" i="7"/>
  <c r="BS17" i="7"/>
  <c r="BV16" i="7"/>
  <c r="BS16" i="7"/>
  <c r="BV15" i="7"/>
  <c r="BS15" i="7"/>
  <c r="BV14" i="7"/>
  <c r="BS14" i="7"/>
  <c r="BV13" i="7"/>
  <c r="BS13" i="7"/>
  <c r="I45" i="7"/>
  <c r="F45" i="7"/>
  <c r="I44" i="7"/>
  <c r="F44" i="7"/>
  <c r="I43" i="7"/>
  <c r="F43" i="7"/>
  <c r="I42" i="7"/>
  <c r="F42" i="7"/>
  <c r="I41" i="7"/>
  <c r="F41" i="7"/>
  <c r="I40" i="7"/>
  <c r="F40" i="7"/>
  <c r="I39" i="7"/>
  <c r="F39" i="7"/>
  <c r="I38" i="7"/>
  <c r="F38" i="7"/>
  <c r="I37" i="7"/>
  <c r="F37" i="7"/>
  <c r="I36" i="7"/>
  <c r="F36" i="7"/>
  <c r="I35" i="7"/>
  <c r="F35" i="7"/>
  <c r="I34" i="7"/>
  <c r="F34" i="7"/>
  <c r="I33" i="7"/>
  <c r="F33" i="7"/>
  <c r="I32" i="7"/>
  <c r="F32" i="7"/>
  <c r="I31" i="7"/>
  <c r="F31" i="7"/>
  <c r="I30" i="7"/>
  <c r="F30" i="7"/>
  <c r="I29" i="7"/>
  <c r="F29" i="7"/>
  <c r="I28" i="7"/>
  <c r="F28" i="7"/>
  <c r="I27" i="7"/>
  <c r="F27" i="7"/>
  <c r="I26" i="7"/>
  <c r="F26" i="7"/>
  <c r="I25" i="7"/>
  <c r="F25" i="7"/>
  <c r="I24" i="7"/>
  <c r="F24" i="7"/>
  <c r="I23" i="7"/>
  <c r="F23" i="7"/>
  <c r="I22" i="7"/>
  <c r="F22" i="7"/>
  <c r="I21" i="7"/>
  <c r="F21" i="7"/>
  <c r="I20" i="7"/>
  <c r="F20" i="7"/>
  <c r="I19" i="7"/>
  <c r="F19" i="7"/>
  <c r="I18" i="7"/>
  <c r="F18" i="7"/>
  <c r="I17" i="7"/>
  <c r="F17" i="7"/>
  <c r="I16" i="7"/>
  <c r="F16" i="7"/>
  <c r="I15" i="7"/>
  <c r="F15" i="7"/>
  <c r="I14" i="7"/>
  <c r="F14" i="7"/>
  <c r="I13" i="7"/>
  <c r="F13" i="7"/>
  <c r="J15" i="9"/>
  <c r="J16" i="9" s="1"/>
  <c r="I15" i="9"/>
  <c r="I16" i="9" s="1"/>
  <c r="H15" i="9"/>
  <c r="H16" i="9" s="1"/>
  <c r="G15" i="9"/>
  <c r="G16" i="9" s="1"/>
  <c r="F15" i="9"/>
  <c r="F16" i="9" s="1"/>
  <c r="BY13" i="7" l="1"/>
  <c r="BY29" i="7"/>
  <c r="BY45" i="7"/>
  <c r="BY14" i="7"/>
  <c r="BY30" i="7"/>
  <c r="BY12" i="7"/>
  <c r="BY15" i="7"/>
  <c r="BY31" i="7"/>
  <c r="BY16" i="7"/>
  <c r="BY32" i="7"/>
  <c r="BY17" i="7"/>
  <c r="BY33" i="7"/>
  <c r="BY18" i="7"/>
  <c r="BY34" i="7"/>
  <c r="BY19" i="7"/>
  <c r="BY35" i="7"/>
  <c r="BY20" i="7"/>
  <c r="BY36" i="7"/>
  <c r="BY21" i="7"/>
  <c r="BY37" i="7"/>
  <c r="BY22" i="7"/>
  <c r="BY38" i="7"/>
  <c r="BY23" i="7"/>
  <c r="BY39" i="7"/>
  <c r="BY24" i="7"/>
  <c r="BY40" i="7"/>
  <c r="BY25" i="7"/>
  <c r="BY41" i="7"/>
  <c r="BY26" i="7"/>
  <c r="BY42" i="7"/>
  <c r="BY27" i="7"/>
  <c r="BY43" i="7"/>
  <c r="BY28" i="7"/>
  <c r="BY44" i="7"/>
  <c r="BL27" i="7"/>
  <c r="BL43" i="7"/>
  <c r="BL28" i="7"/>
  <c r="BL44" i="7"/>
  <c r="BL13" i="7"/>
  <c r="BL29" i="7"/>
  <c r="BL45" i="7"/>
  <c r="BL14" i="7"/>
  <c r="BL30" i="7"/>
  <c r="BL12" i="7"/>
  <c r="BL15" i="7"/>
  <c r="BL31" i="7"/>
  <c r="BL16" i="7"/>
  <c r="BL32" i="7"/>
  <c r="BL17" i="7"/>
  <c r="BL33" i="7"/>
  <c r="BL18" i="7"/>
  <c r="BL34" i="7"/>
  <c r="BL19" i="7"/>
  <c r="BL35" i="7"/>
  <c r="BL20" i="7"/>
  <c r="BL36" i="7"/>
  <c r="BL21" i="7"/>
  <c r="BL37" i="7"/>
  <c r="BL22" i="7"/>
  <c r="BL38" i="7"/>
  <c r="BL23" i="7"/>
  <c r="BL39" i="7"/>
  <c r="BL24" i="7"/>
  <c r="BL40" i="7"/>
  <c r="BL25" i="7"/>
  <c r="BL41" i="7"/>
  <c r="BL26" i="7"/>
  <c r="BL42" i="7"/>
  <c r="AL25" i="7"/>
  <c r="AL41" i="7"/>
  <c r="AL42" i="7"/>
  <c r="AL27" i="7"/>
  <c r="AL43" i="7"/>
  <c r="AL28" i="7"/>
  <c r="AL44" i="7"/>
  <c r="AL13" i="7"/>
  <c r="AL29" i="7"/>
  <c r="AL45" i="7"/>
  <c r="AL14" i="7"/>
  <c r="AL30" i="7"/>
  <c r="AL12" i="7"/>
  <c r="AL15" i="7"/>
  <c r="AL31" i="7"/>
  <c r="AL16" i="7"/>
  <c r="AL32" i="7"/>
  <c r="AL17" i="7"/>
  <c r="AL33" i="7"/>
  <c r="AL18" i="7"/>
  <c r="AL34" i="7"/>
  <c r="AL19" i="7"/>
  <c r="AL35" i="7"/>
  <c r="AL20" i="7"/>
  <c r="AL36" i="7"/>
  <c r="AL21" i="7"/>
  <c r="AL37" i="7"/>
  <c r="AL22" i="7"/>
  <c r="AL38" i="7"/>
  <c r="AL23" i="7"/>
  <c r="AL24" i="7"/>
  <c r="AL26" i="7"/>
  <c r="AL39" i="7"/>
  <c r="AL40" i="7"/>
  <c r="AY26" i="7"/>
  <c r="AY42" i="7"/>
  <c r="AY36" i="7"/>
  <c r="AY21" i="7"/>
  <c r="AY22" i="7"/>
  <c r="AY38" i="7"/>
  <c r="AY23" i="7"/>
  <c r="AY40" i="7"/>
  <c r="AY41" i="7"/>
  <c r="AY27" i="7"/>
  <c r="AY43" i="7"/>
  <c r="AY28" i="7"/>
  <c r="AY44" i="7"/>
  <c r="AY13" i="7"/>
  <c r="AY29" i="7"/>
  <c r="AY45" i="7"/>
  <c r="AY14" i="7"/>
  <c r="AY30" i="7"/>
  <c r="AY12" i="7"/>
  <c r="AY15" i="7"/>
  <c r="AY31" i="7"/>
  <c r="AY16" i="7"/>
  <c r="AY32" i="7"/>
  <c r="AY17" i="7"/>
  <c r="AY33" i="7"/>
  <c r="AY18" i="7"/>
  <c r="AY34" i="7"/>
  <c r="AY19" i="7"/>
  <c r="AY35" i="7"/>
  <c r="AY20" i="7"/>
  <c r="AY37" i="7"/>
  <c r="AY39" i="7"/>
  <c r="AY24" i="7"/>
  <c r="AY25" i="7"/>
  <c r="Y21" i="7"/>
  <c r="Y37" i="7"/>
  <c r="Y22" i="7"/>
  <c r="Y38" i="7"/>
  <c r="Y23" i="7"/>
  <c r="Y39" i="7"/>
  <c r="Y24" i="7"/>
  <c r="Y40" i="7"/>
  <c r="Y25" i="7"/>
  <c r="Y41" i="7"/>
  <c r="Y26" i="7"/>
  <c r="Y42" i="7"/>
  <c r="Y27" i="7"/>
  <c r="Y43" i="7"/>
  <c r="Y28" i="7"/>
  <c r="Y44" i="7"/>
  <c r="Y13" i="7"/>
  <c r="Y29" i="7"/>
  <c r="Y45" i="7"/>
  <c r="Y14" i="7"/>
  <c r="Y30" i="7"/>
  <c r="Y12" i="7"/>
  <c r="Y15" i="7"/>
  <c r="Y31" i="7"/>
  <c r="Y16" i="7"/>
  <c r="Y32" i="7"/>
  <c r="Y17" i="7"/>
  <c r="Y33" i="7"/>
  <c r="Y18" i="7"/>
  <c r="Y34" i="7"/>
  <c r="Y19" i="7"/>
  <c r="Y35" i="7"/>
  <c r="Y20" i="7"/>
  <c r="Y36" i="7"/>
  <c r="AD5" i="7"/>
  <c r="AE93" i="7" s="1"/>
  <c r="BQ5" i="7"/>
  <c r="AQ5" i="7"/>
  <c r="Q5" i="7"/>
  <c r="BO13" i="7"/>
  <c r="BP13" i="7" s="1"/>
  <c r="BD5" i="7"/>
  <c r="BO21" i="7"/>
  <c r="BP21" i="7" s="1"/>
  <c r="AO17" i="7"/>
  <c r="AP17" i="7" s="1"/>
  <c r="BO14" i="7"/>
  <c r="BP14" i="7" s="1"/>
  <c r="BB17" i="7"/>
  <c r="BC17" i="7" s="1"/>
  <c r="BO22" i="7"/>
  <c r="BP22" i="7" s="1"/>
  <c r="AO18" i="7"/>
  <c r="AP18" i="7" s="1"/>
  <c r="BO16" i="7"/>
  <c r="BP16" i="7" s="1"/>
  <c r="BB30" i="7"/>
  <c r="BC30" i="7" s="1"/>
  <c r="BB13" i="7"/>
  <c r="BC13" i="7" s="1"/>
  <c r="BO25" i="7"/>
  <c r="BP25" i="7" s="1"/>
  <c r="BB31" i="7"/>
  <c r="BC31" i="7" s="1"/>
  <c r="AO31" i="7"/>
  <c r="AP31" i="7" s="1"/>
  <c r="BB18" i="7"/>
  <c r="BC18" i="7" s="1"/>
  <c r="BB19" i="7"/>
  <c r="BC19" i="7" s="1"/>
  <c r="AO27" i="7"/>
  <c r="AP27" i="7" s="1"/>
  <c r="BO12" i="7"/>
  <c r="BP12" i="7" s="1"/>
  <c r="BB12" i="7"/>
  <c r="BC12" i="7" s="1"/>
  <c r="AO21" i="7"/>
  <c r="AP21" i="7" s="1"/>
  <c r="BO30" i="7"/>
  <c r="BP30" i="7" s="1"/>
  <c r="AO25" i="7"/>
  <c r="AP25" i="7" s="1"/>
  <c r="BB15" i="7"/>
  <c r="BC15" i="7" s="1"/>
  <c r="BO19" i="7"/>
  <c r="BP19" i="7" s="1"/>
  <c r="AO13" i="7"/>
  <c r="AP13" i="7" s="1"/>
  <c r="AO15" i="7"/>
  <c r="AP15" i="7" s="1"/>
  <c r="AO28" i="7"/>
  <c r="AP28" i="7" s="1"/>
  <c r="BB24" i="7"/>
  <c r="BC24" i="7" s="1"/>
  <c r="BO29" i="7"/>
  <c r="BP29" i="7" s="1"/>
  <c r="BB27" i="7"/>
  <c r="BC27" i="7" s="1"/>
  <c r="BE46" i="7"/>
  <c r="BB28" i="7"/>
  <c r="BC28" i="7" s="1"/>
  <c r="BB22" i="7"/>
  <c r="BC22" i="7" s="1"/>
  <c r="BO17" i="7"/>
  <c r="BP17" i="7" s="1"/>
  <c r="BO23" i="7"/>
  <c r="BP23" i="7" s="1"/>
  <c r="AO12" i="7"/>
  <c r="AP12" i="7" s="1"/>
  <c r="BB20" i="7"/>
  <c r="BC20" i="7" s="1"/>
  <c r="BO28" i="7"/>
  <c r="BP28" i="7" s="1"/>
  <c r="BO18" i="7"/>
  <c r="BP18" i="7" s="1"/>
  <c r="AO29" i="7"/>
  <c r="AP29" i="7" s="1"/>
  <c r="AO14" i="7"/>
  <c r="AP14" i="7" s="1"/>
  <c r="BO20" i="7"/>
  <c r="BP20" i="7" s="1"/>
  <c r="AO24" i="7"/>
  <c r="AP24" i="7" s="1"/>
  <c r="BB23" i="7"/>
  <c r="BC23" i="7" s="1"/>
  <c r="BB25" i="7"/>
  <c r="BC25" i="7" s="1"/>
  <c r="BO31" i="7"/>
  <c r="BP31" i="7" s="1"/>
  <c r="BO26" i="7"/>
  <c r="BP26" i="7" s="1"/>
  <c r="BO24" i="7"/>
  <c r="BP24" i="7" s="1"/>
  <c r="AO19" i="7"/>
  <c r="AP19" i="7" s="1"/>
  <c r="AO22" i="7"/>
  <c r="AP22" i="7" s="1"/>
  <c r="BB29" i="7"/>
  <c r="BC29" i="7" s="1"/>
  <c r="BB14" i="7"/>
  <c r="BC14" i="7" s="1"/>
  <c r="AO30" i="7"/>
  <c r="AP30" i="7" s="1"/>
  <c r="AO16" i="7"/>
  <c r="AP16" i="7" s="1"/>
  <c r="AO23" i="7"/>
  <c r="AP23" i="7" s="1"/>
  <c r="AO26" i="7"/>
  <c r="AP26" i="7" s="1"/>
  <c r="BO15" i="7"/>
  <c r="BP15" i="7" s="1"/>
  <c r="BO27" i="7"/>
  <c r="BP27" i="7" s="1"/>
  <c r="AO20" i="7"/>
  <c r="AP20" i="7" s="1"/>
  <c r="BB21" i="7"/>
  <c r="BC21" i="7" s="1"/>
  <c r="BB26" i="7"/>
  <c r="BC26" i="7" s="1"/>
  <c r="BB16" i="7"/>
  <c r="BC16" i="7" s="1"/>
  <c r="AB28" i="7"/>
  <c r="AC28" i="7" s="1"/>
  <c r="AB27" i="7"/>
  <c r="AC27" i="7" s="1"/>
  <c r="AB22" i="7"/>
  <c r="AC22" i="7" s="1"/>
  <c r="O28" i="7"/>
  <c r="P28" i="7" s="1"/>
  <c r="AB21" i="7"/>
  <c r="AC21" i="7" s="1"/>
  <c r="AB15" i="7"/>
  <c r="AC15" i="7" s="1"/>
  <c r="AB16" i="7"/>
  <c r="AC16" i="7" s="1"/>
  <c r="AB24" i="7"/>
  <c r="AC24" i="7" s="1"/>
  <c r="O14" i="7"/>
  <c r="P14" i="7" s="1"/>
  <c r="O15" i="7"/>
  <c r="P15" i="7" s="1"/>
  <c r="AB25" i="7"/>
  <c r="AC25" i="7" s="1"/>
  <c r="O29" i="7"/>
  <c r="P29" i="7" s="1"/>
  <c r="O17" i="7"/>
  <c r="P17" i="7" s="1"/>
  <c r="O30" i="7"/>
  <c r="P30" i="7" s="1"/>
  <c r="AB31" i="7"/>
  <c r="AC31" i="7" s="1"/>
  <c r="O27" i="7"/>
  <c r="P27" i="7" s="1"/>
  <c r="AB20" i="7"/>
  <c r="AC20" i="7" s="1"/>
  <c r="O21" i="7"/>
  <c r="P21" i="7" s="1"/>
  <c r="O13" i="7"/>
  <c r="P13" i="7" s="1"/>
  <c r="AB12" i="7"/>
  <c r="AC12" i="7" s="1"/>
  <c r="AB29" i="7"/>
  <c r="AC29" i="7" s="1"/>
  <c r="O31" i="7"/>
  <c r="P31" i="7" s="1"/>
  <c r="O18" i="7"/>
  <c r="P18" i="7" s="1"/>
  <c r="O12" i="7"/>
  <c r="P12" i="7" s="1"/>
  <c r="O16" i="7"/>
  <c r="P16" i="7" s="1"/>
  <c r="O23" i="7"/>
  <c r="P23" i="7" s="1"/>
  <c r="AB13" i="7"/>
  <c r="AC13" i="7" s="1"/>
  <c r="AB23" i="7"/>
  <c r="AC23" i="7" s="1"/>
  <c r="O19" i="7"/>
  <c r="P19" i="7" s="1"/>
  <c r="G8" i="9"/>
  <c r="AB19" i="7"/>
  <c r="AC19" i="7" s="1"/>
  <c r="AB26" i="7"/>
  <c r="AC26" i="7" s="1"/>
  <c r="AB30" i="7"/>
  <c r="AC30" i="7" s="1"/>
  <c r="O26" i="7"/>
  <c r="P26" i="7" s="1"/>
  <c r="AB17" i="7"/>
  <c r="AC17" i="7" s="1"/>
  <c r="AB14" i="7"/>
  <c r="AC14" i="7" s="1"/>
  <c r="O24" i="7"/>
  <c r="P24" i="7" s="1"/>
  <c r="O22" i="7"/>
  <c r="P22" i="7" s="1"/>
  <c r="O25" i="7"/>
  <c r="P25" i="7" s="1"/>
  <c r="AB18" i="7"/>
  <c r="AC18" i="7" s="1"/>
  <c r="O20" i="7"/>
  <c r="P20" i="7" s="1"/>
  <c r="H8" i="9"/>
  <c r="AE101" i="7" l="1"/>
  <c r="AE102" i="7"/>
  <c r="AE107" i="7"/>
  <c r="AE97" i="7"/>
  <c r="AE94" i="7"/>
  <c r="BH45" i="7"/>
  <c r="BH43" i="7"/>
  <c r="BH41" i="7"/>
  <c r="BH39" i="7"/>
  <c r="BH37" i="7"/>
  <c r="BH35" i="7"/>
  <c r="BH33" i="7"/>
  <c r="BH31" i="7"/>
  <c r="BH29" i="7"/>
  <c r="BH27" i="7"/>
  <c r="BH25" i="7"/>
  <c r="BH23" i="7"/>
  <c r="BH21" i="7"/>
  <c r="BH19" i="7"/>
  <c r="BH17" i="7"/>
  <c r="BH15" i="7"/>
  <c r="BH13" i="7"/>
  <c r="BH42" i="7"/>
  <c r="BH40" i="7"/>
  <c r="BH36" i="7"/>
  <c r="BH32" i="7"/>
  <c r="BH28" i="7"/>
  <c r="BH24" i="7"/>
  <c r="BH20" i="7"/>
  <c r="BH14" i="7"/>
  <c r="BH44" i="7"/>
  <c r="BH38" i="7"/>
  <c r="BH34" i="7"/>
  <c r="BH30" i="7"/>
  <c r="BH26" i="7"/>
  <c r="BH22" i="7"/>
  <c r="BH18" i="7"/>
  <c r="BH16" i="7"/>
  <c r="BH12" i="7"/>
  <c r="AU45" i="7"/>
  <c r="AU43" i="7"/>
  <c r="AU41" i="7"/>
  <c r="AU39" i="7"/>
  <c r="AU37" i="7"/>
  <c r="AU35" i="7"/>
  <c r="AU33" i="7"/>
  <c r="AU31" i="7"/>
  <c r="AU29" i="7"/>
  <c r="AU27" i="7"/>
  <c r="AU25" i="7"/>
  <c r="AU23" i="7"/>
  <c r="AU21" i="7"/>
  <c r="AU19" i="7"/>
  <c r="AU17" i="7"/>
  <c r="AU15" i="7"/>
  <c r="AU13" i="7"/>
  <c r="AU44" i="7"/>
  <c r="AU42" i="7"/>
  <c r="AU40" i="7"/>
  <c r="AU38" i="7"/>
  <c r="AU36" i="7"/>
  <c r="AU34" i="7"/>
  <c r="AU32" i="7"/>
  <c r="AU30" i="7"/>
  <c r="AU28" i="7"/>
  <c r="AU26" i="7"/>
  <c r="AU24" i="7"/>
  <c r="AU22" i="7"/>
  <c r="AU20" i="7"/>
  <c r="AU18" i="7"/>
  <c r="AU16" i="7"/>
  <c r="AU14" i="7"/>
  <c r="AU12" i="7"/>
  <c r="AH45" i="7"/>
  <c r="AH43" i="7"/>
  <c r="AH41" i="7"/>
  <c r="AH39" i="7"/>
  <c r="AH37" i="7"/>
  <c r="AH35" i="7"/>
  <c r="AH33" i="7"/>
  <c r="AH31" i="7"/>
  <c r="AH29" i="7"/>
  <c r="AH27" i="7"/>
  <c r="AH25" i="7"/>
  <c r="AH23" i="7"/>
  <c r="AH21" i="7"/>
  <c r="AH19" i="7"/>
  <c r="AH17" i="7"/>
  <c r="AH15" i="7"/>
  <c r="AH13" i="7"/>
  <c r="AH44" i="7"/>
  <c r="AH40" i="7"/>
  <c r="AH36" i="7"/>
  <c r="AH32" i="7"/>
  <c r="AH28" i="7"/>
  <c r="AH24" i="7"/>
  <c r="AH20" i="7"/>
  <c r="AH16" i="7"/>
  <c r="AH12" i="7"/>
  <c r="AH42" i="7"/>
  <c r="AH38" i="7"/>
  <c r="AH34" i="7"/>
  <c r="AH30" i="7"/>
  <c r="AH26" i="7"/>
  <c r="AH22" i="7"/>
  <c r="AH18" i="7"/>
  <c r="AH14" i="7"/>
  <c r="U45" i="7"/>
  <c r="U43" i="7"/>
  <c r="U41" i="7"/>
  <c r="U39" i="7"/>
  <c r="U37" i="7"/>
  <c r="U35" i="7"/>
  <c r="U33" i="7"/>
  <c r="U31" i="7"/>
  <c r="U29" i="7"/>
  <c r="U27" i="7"/>
  <c r="U25" i="7"/>
  <c r="U23" i="7"/>
  <c r="U21" i="7"/>
  <c r="U19" i="7"/>
  <c r="U17" i="7"/>
  <c r="U15" i="7"/>
  <c r="U13" i="7"/>
  <c r="U40" i="7"/>
  <c r="U36" i="7"/>
  <c r="U32" i="7"/>
  <c r="U28" i="7"/>
  <c r="U26" i="7"/>
  <c r="U22" i="7"/>
  <c r="U16" i="7"/>
  <c r="U44" i="7"/>
  <c r="U42" i="7"/>
  <c r="U38" i="7"/>
  <c r="U34" i="7"/>
  <c r="U30" i="7"/>
  <c r="U24" i="7"/>
  <c r="U20" i="7"/>
  <c r="U18" i="7"/>
  <c r="U14" i="7"/>
  <c r="U12" i="7"/>
  <c r="AE90" i="7"/>
  <c r="AE100" i="7"/>
  <c r="AE99" i="7"/>
  <c r="AE96" i="7"/>
  <c r="AE108" i="7"/>
  <c r="AE106" i="7"/>
  <c r="AE91" i="7"/>
  <c r="AE87" i="7"/>
  <c r="AE98" i="7"/>
  <c r="AE92" i="7"/>
  <c r="AE105" i="7"/>
  <c r="AE104" i="7"/>
  <c r="AE89" i="7"/>
  <c r="AE88" i="7"/>
  <c r="AE95" i="7"/>
  <c r="AE103" i="7"/>
  <c r="AE109" i="7"/>
  <c r="BE28" i="7"/>
  <c r="AR102" i="7"/>
  <c r="AR109" i="7"/>
  <c r="AR103" i="7"/>
  <c r="AR106" i="7"/>
  <c r="AR108" i="7"/>
  <c r="AR104" i="7"/>
  <c r="AR107" i="7"/>
  <c r="AR105" i="7"/>
  <c r="R81" i="7"/>
  <c r="R18" i="7"/>
  <c r="BR107" i="7"/>
  <c r="BR103" i="7"/>
  <c r="BR108" i="7"/>
  <c r="BR105" i="7"/>
  <c r="BR102" i="7"/>
  <c r="BR109" i="7"/>
  <c r="BR104" i="7"/>
  <c r="BR106" i="7"/>
  <c r="R105" i="7"/>
  <c r="R103" i="7"/>
  <c r="R108" i="7"/>
  <c r="R107" i="7"/>
  <c r="R104" i="7"/>
  <c r="R106" i="7"/>
  <c r="R102" i="7"/>
  <c r="R109" i="7"/>
  <c r="R86" i="7"/>
  <c r="BE106" i="7"/>
  <c r="BE105" i="7"/>
  <c r="BE108" i="7"/>
  <c r="BE109" i="7"/>
  <c r="BE107" i="7"/>
  <c r="BE104" i="7"/>
  <c r="BE103" i="7"/>
  <c r="BE102" i="7"/>
  <c r="AR88" i="7"/>
  <c r="AR96" i="7"/>
  <c r="AR87" i="7"/>
  <c r="AR95" i="7"/>
  <c r="AR94" i="7"/>
  <c r="AR91" i="7"/>
  <c r="AR92" i="7"/>
  <c r="AR98" i="7"/>
  <c r="AR90" i="7"/>
  <c r="AR101" i="7"/>
  <c r="AR89" i="7"/>
  <c r="AR99" i="7"/>
  <c r="AR93" i="7"/>
  <c r="AR100" i="7"/>
  <c r="AR97" i="7"/>
  <c r="BE83" i="7"/>
  <c r="BE69" i="7"/>
  <c r="BE90" i="7"/>
  <c r="BE98" i="7"/>
  <c r="BE89" i="7"/>
  <c r="BE97" i="7"/>
  <c r="BE88" i="7"/>
  <c r="BE96" i="7"/>
  <c r="BE94" i="7"/>
  <c r="BE100" i="7"/>
  <c r="BE101" i="7"/>
  <c r="BE91" i="7"/>
  <c r="BE95" i="7"/>
  <c r="BE92" i="7"/>
  <c r="BE87" i="7"/>
  <c r="BE93" i="7"/>
  <c r="BE99" i="7"/>
  <c r="BR93" i="7"/>
  <c r="BR101" i="7"/>
  <c r="BR92" i="7"/>
  <c r="BR100" i="7"/>
  <c r="BR91" i="7"/>
  <c r="BR99" i="7"/>
  <c r="BR96" i="7"/>
  <c r="BR90" i="7"/>
  <c r="BR97" i="7"/>
  <c r="BR87" i="7"/>
  <c r="BR89" i="7"/>
  <c r="BR94" i="7"/>
  <c r="BR88" i="7"/>
  <c r="BR98" i="7"/>
  <c r="BR95" i="7"/>
  <c r="BE43" i="7"/>
  <c r="R91" i="7"/>
  <c r="R99" i="7"/>
  <c r="R90" i="7"/>
  <c r="R98" i="7"/>
  <c r="R89" i="7"/>
  <c r="R97" i="7"/>
  <c r="R96" i="7"/>
  <c r="R87" i="7"/>
  <c r="R93" i="7"/>
  <c r="R101" i="7"/>
  <c r="R94" i="7"/>
  <c r="R88" i="7"/>
  <c r="R100" i="7"/>
  <c r="R95" i="7"/>
  <c r="R92" i="7"/>
  <c r="BE47" i="7"/>
  <c r="BE41" i="7"/>
  <c r="BE64" i="7"/>
  <c r="BE32" i="7"/>
  <c r="BE40" i="7"/>
  <c r="R69" i="7"/>
  <c r="BE12" i="7"/>
  <c r="BE49" i="7"/>
  <c r="BE30" i="7"/>
  <c r="BE79" i="7"/>
  <c r="BE78" i="7"/>
  <c r="BE73" i="7"/>
  <c r="BE45" i="7"/>
  <c r="BE34" i="7"/>
  <c r="BE16" i="7"/>
  <c r="BE38" i="7"/>
  <c r="BE80" i="7"/>
  <c r="BE52" i="7"/>
  <c r="BE54" i="7"/>
  <c r="BE17" i="7"/>
  <c r="BE71" i="7"/>
  <c r="BE23" i="7"/>
  <c r="BE27" i="7"/>
  <c r="BE48" i="7"/>
  <c r="BE68" i="7"/>
  <c r="BE67" i="7"/>
  <c r="BE37" i="7"/>
  <c r="BE82" i="7"/>
  <c r="BE33" i="7"/>
  <c r="BE74" i="7"/>
  <c r="BE70" i="7"/>
  <c r="BE59" i="7"/>
  <c r="BE26" i="7"/>
  <c r="BE62" i="7"/>
  <c r="BE29" i="7"/>
  <c r="BE81" i="7"/>
  <c r="BE42" i="7"/>
  <c r="BE22" i="7"/>
  <c r="BE58" i="7"/>
  <c r="BE56" i="7"/>
  <c r="BE55" i="7"/>
  <c r="BE77" i="7"/>
  <c r="J9" i="9"/>
  <c r="K28" i="9" s="1"/>
  <c r="K40" i="9" s="1"/>
  <c r="K47" i="9" s="1"/>
  <c r="BE44" i="7"/>
  <c r="BE51" i="7"/>
  <c r="BE72" i="7"/>
  <c r="BE39" i="7"/>
  <c r="BE60" i="7"/>
  <c r="BE14" i="7"/>
  <c r="BE61" i="7"/>
  <c r="BE18" i="7"/>
  <c r="BE63" i="7"/>
  <c r="BE65" i="7"/>
  <c r="BE31" i="7"/>
  <c r="BE24" i="7"/>
  <c r="BE20" i="7"/>
  <c r="BE21" i="7"/>
  <c r="BE57" i="7"/>
  <c r="BE66" i="7"/>
  <c r="BE76" i="7"/>
  <c r="BE19" i="7"/>
  <c r="BE53" i="7"/>
  <c r="BE15" i="7"/>
  <c r="BE25" i="7"/>
  <c r="BE13" i="7"/>
  <c r="BE50" i="7"/>
  <c r="BE36" i="7"/>
  <c r="BE75" i="7"/>
  <c r="BE35" i="7"/>
  <c r="R52" i="7"/>
  <c r="BR84" i="7"/>
  <c r="BR85" i="7"/>
  <c r="BR86" i="7"/>
  <c r="BE84" i="7"/>
  <c r="BE85" i="7"/>
  <c r="BE86" i="7"/>
  <c r="R84" i="7"/>
  <c r="R82" i="7"/>
  <c r="R26" i="7"/>
  <c r="R61" i="7"/>
  <c r="R78" i="7"/>
  <c r="R77" i="7"/>
  <c r="R39" i="7"/>
  <c r="R70" i="7"/>
  <c r="R60" i="7"/>
  <c r="R41" i="7"/>
  <c r="R58" i="7"/>
  <c r="R43" i="7"/>
  <c r="R50" i="7"/>
  <c r="R85" i="7"/>
  <c r="R31" i="7"/>
  <c r="R23" i="7"/>
  <c r="R74" i="7"/>
  <c r="R15" i="7"/>
  <c r="R79" i="7"/>
  <c r="R16" i="7"/>
  <c r="R76" i="7"/>
  <c r="R55" i="7"/>
  <c r="R25" i="7"/>
  <c r="R27" i="7"/>
  <c r="R48" i="7"/>
  <c r="R66" i="7"/>
  <c r="R38" i="7"/>
  <c r="R71" i="7"/>
  <c r="R73" i="7"/>
  <c r="R45" i="7"/>
  <c r="R29" i="7"/>
  <c r="R37" i="7"/>
  <c r="R22" i="7"/>
  <c r="R46" i="7"/>
  <c r="R47" i="7"/>
  <c r="R30" i="7"/>
  <c r="R14" i="7"/>
  <c r="R62" i="7"/>
  <c r="R68" i="7"/>
  <c r="R57" i="7"/>
  <c r="R51" i="7"/>
  <c r="R56" i="7"/>
  <c r="R63" i="7"/>
  <c r="R36" i="7"/>
  <c r="R20" i="7"/>
  <c r="R65" i="7"/>
  <c r="R72" i="7"/>
  <c r="R49" i="7"/>
  <c r="R42" i="7"/>
  <c r="R28" i="7"/>
  <c r="R83" i="7"/>
  <c r="R59" i="7"/>
  <c r="R80" i="7"/>
  <c r="R13" i="7"/>
  <c r="R17" i="7"/>
  <c r="R67" i="7"/>
  <c r="R33" i="7"/>
  <c r="R19" i="7"/>
  <c r="R34" i="7"/>
  <c r="R35" i="7"/>
  <c r="R32" i="7"/>
  <c r="R75" i="7"/>
  <c r="R21" i="7"/>
  <c r="R53" i="7"/>
  <c r="R54" i="7"/>
  <c r="R24" i="7"/>
  <c r="R40" i="7"/>
  <c r="R64" i="7"/>
  <c r="R44" i="7"/>
  <c r="AE24" i="7"/>
  <c r="AE40" i="7"/>
  <c r="AE56" i="7"/>
  <c r="AE72" i="7"/>
  <c r="AE57" i="7"/>
  <c r="AE28" i="7"/>
  <c r="AE44" i="7"/>
  <c r="AE60" i="7"/>
  <c r="AE13" i="7"/>
  <c r="AE29" i="7"/>
  <c r="AE61" i="7"/>
  <c r="AE14" i="7"/>
  <c r="AE30" i="7"/>
  <c r="AE46" i="7"/>
  <c r="AE78" i="7"/>
  <c r="AE31" i="7"/>
  <c r="AE32" i="7"/>
  <c r="AE80" i="7"/>
  <c r="AE35" i="7"/>
  <c r="AE51" i="7"/>
  <c r="AE67" i="7"/>
  <c r="AE83" i="7"/>
  <c r="AE20" i="7"/>
  <c r="AE36" i="7"/>
  <c r="AE52" i="7"/>
  <c r="AE68" i="7"/>
  <c r="AE84" i="7"/>
  <c r="AE25" i="7"/>
  <c r="AE41" i="7"/>
  <c r="AE73" i="7"/>
  <c r="AE76" i="7"/>
  <c r="AE26" i="7"/>
  <c r="AE42" i="7"/>
  <c r="AE58" i="7"/>
  <c r="AE74" i="7"/>
  <c r="AE62" i="7"/>
  <c r="AE63" i="7"/>
  <c r="AE48" i="7"/>
  <c r="AE34" i="7"/>
  <c r="AE50" i="7"/>
  <c r="AE82" i="7"/>
  <c r="AE19" i="7"/>
  <c r="AE37" i="7"/>
  <c r="AE27" i="7"/>
  <c r="AE43" i="7"/>
  <c r="AE59" i="7"/>
  <c r="AE75" i="7"/>
  <c r="AE45" i="7"/>
  <c r="AE77" i="7"/>
  <c r="AE15" i="7"/>
  <c r="AE47" i="7"/>
  <c r="AE79" i="7"/>
  <c r="AE16" i="7"/>
  <c r="AE64" i="7"/>
  <c r="AE18" i="7"/>
  <c r="AE66" i="7"/>
  <c r="AE21" i="7"/>
  <c r="AE53" i="7"/>
  <c r="AE69" i="7"/>
  <c r="AE17" i="7"/>
  <c r="AE33" i="7"/>
  <c r="AE49" i="7"/>
  <c r="AE65" i="7"/>
  <c r="AE81" i="7"/>
  <c r="AE86" i="7"/>
  <c r="AE22" i="7"/>
  <c r="AE23" i="7"/>
  <c r="AE54" i="7"/>
  <c r="AE55" i="7"/>
  <c r="AE70" i="7"/>
  <c r="AE85" i="7"/>
  <c r="AE38" i="7"/>
  <c r="AE39" i="7"/>
  <c r="AE71" i="7"/>
  <c r="R12" i="7"/>
  <c r="G9" i="9"/>
  <c r="K25" i="9" s="1"/>
  <c r="K37" i="9" s="1"/>
  <c r="I16" i="11" s="1"/>
  <c r="I26" i="11" s="1"/>
  <c r="BR12" i="7"/>
  <c r="BR13" i="7"/>
  <c r="BR73" i="7"/>
  <c r="BR20" i="7"/>
  <c r="BR40" i="7"/>
  <c r="BR36" i="7"/>
  <c r="BR83" i="7"/>
  <c r="BR68" i="7"/>
  <c r="BR52" i="7"/>
  <c r="BR26" i="7"/>
  <c r="BR49" i="7"/>
  <c r="BR57" i="7"/>
  <c r="BR61" i="7"/>
  <c r="BR79" i="7"/>
  <c r="BR72" i="7"/>
  <c r="BR77" i="7"/>
  <c r="BR43" i="7"/>
  <c r="BR45" i="7"/>
  <c r="BR59" i="7"/>
  <c r="BR80" i="7"/>
  <c r="BR54" i="7"/>
  <c r="BR18" i="7"/>
  <c r="BR67" i="7"/>
  <c r="BR41" i="7"/>
  <c r="BR22" i="7"/>
  <c r="BR65" i="7"/>
  <c r="BR35" i="7"/>
  <c r="BR29" i="7"/>
  <c r="BR39" i="7"/>
  <c r="BR58" i="7"/>
  <c r="BR42" i="7"/>
  <c r="BR66" i="7"/>
  <c r="BR78" i="7"/>
  <c r="BR31" i="7"/>
  <c r="BR69" i="7"/>
  <c r="BR48" i="7"/>
  <c r="BR63" i="7"/>
  <c r="BR23" i="7"/>
  <c r="BR32" i="7"/>
  <c r="BR71" i="7"/>
  <c r="BR56" i="7"/>
  <c r="BR24" i="7"/>
  <c r="BR44" i="7"/>
  <c r="BR82" i="7"/>
  <c r="BR50" i="7"/>
  <c r="BR74" i="7"/>
  <c r="BR30" i="7"/>
  <c r="BR76" i="7"/>
  <c r="BR21" i="7"/>
  <c r="BR51" i="7"/>
  <c r="BR53" i="7"/>
  <c r="BR75" i="7"/>
  <c r="BR14" i="7"/>
  <c r="BR64" i="7"/>
  <c r="BR38" i="7"/>
  <c r="BR25" i="7"/>
  <c r="BR37" i="7"/>
  <c r="BR15" i="7"/>
  <c r="BR19" i="7"/>
  <c r="BR55" i="7"/>
  <c r="BR27" i="7"/>
  <c r="BR28" i="7"/>
  <c r="BR17" i="7"/>
  <c r="BR33" i="7"/>
  <c r="BR46" i="7"/>
  <c r="BR62" i="7"/>
  <c r="BR70" i="7"/>
  <c r="BR60" i="7"/>
  <c r="BR47" i="7"/>
  <c r="BR81" i="7"/>
  <c r="BR34" i="7"/>
  <c r="BR16" i="7"/>
  <c r="AE12" i="7"/>
  <c r="BU12" i="7"/>
  <c r="BU44" i="7"/>
  <c r="BU20" i="7"/>
  <c r="BU38" i="7"/>
  <c r="BU24" i="7"/>
  <c r="BU18" i="7"/>
  <c r="BU42" i="7"/>
  <c r="BU22" i="7"/>
  <c r="BU34" i="7"/>
  <c r="BU45" i="7"/>
  <c r="BU43" i="7"/>
  <c r="BU41" i="7"/>
  <c r="BU39" i="7"/>
  <c r="BU37" i="7"/>
  <c r="BU35" i="7"/>
  <c r="BU33" i="7"/>
  <c r="BU31" i="7"/>
  <c r="BU29" i="7"/>
  <c r="BU27" i="7"/>
  <c r="BU25" i="7"/>
  <c r="BU23" i="7"/>
  <c r="BU21" i="7"/>
  <c r="BU19" i="7"/>
  <c r="BU17" i="7"/>
  <c r="BU15" i="7"/>
  <c r="BU13" i="7"/>
  <c r="BU40" i="7"/>
  <c r="BU26" i="7"/>
  <c r="BU14" i="7"/>
  <c r="BU32" i="7"/>
  <c r="BU30" i="7"/>
  <c r="BU28" i="7"/>
  <c r="BU36" i="7"/>
  <c r="BU16" i="7"/>
  <c r="K9" i="9"/>
  <c r="H9" i="9"/>
  <c r="K26" i="9" s="1"/>
  <c r="BJ18" i="7" l="1"/>
  <c r="BK18" i="7"/>
  <c r="BJ34" i="7"/>
  <c r="BK34" i="7"/>
  <c r="BJ20" i="7"/>
  <c r="BK20" i="7"/>
  <c r="BJ36" i="7"/>
  <c r="BK36" i="7"/>
  <c r="BK15" i="7"/>
  <c r="BJ15" i="7"/>
  <c r="BK23" i="7"/>
  <c r="BJ23" i="7"/>
  <c r="BK31" i="7"/>
  <c r="BJ31" i="7"/>
  <c r="BK39" i="7"/>
  <c r="BJ39" i="7"/>
  <c r="BJ22" i="7"/>
  <c r="BK22" i="7"/>
  <c r="BJ38" i="7"/>
  <c r="BK38" i="7"/>
  <c r="BJ24" i="7"/>
  <c r="BK24" i="7"/>
  <c r="BJ40" i="7"/>
  <c r="BK40" i="7"/>
  <c r="BK17" i="7"/>
  <c r="BJ17" i="7"/>
  <c r="BK25" i="7"/>
  <c r="BJ25" i="7"/>
  <c r="BK33" i="7"/>
  <c r="BJ33" i="7"/>
  <c r="BJ41" i="7"/>
  <c r="BK41" i="7"/>
  <c r="BJ12" i="7"/>
  <c r="BK12" i="7"/>
  <c r="BJ26" i="7"/>
  <c r="BK26" i="7"/>
  <c r="BJ44" i="7"/>
  <c r="BK44" i="7"/>
  <c r="BJ28" i="7"/>
  <c r="BK28" i="7"/>
  <c r="BJ42" i="7"/>
  <c r="BK42" i="7"/>
  <c r="BK19" i="7"/>
  <c r="BJ19" i="7"/>
  <c r="BK27" i="7"/>
  <c r="BJ27" i="7"/>
  <c r="BK35" i="7"/>
  <c r="BJ35" i="7"/>
  <c r="BJ43" i="7"/>
  <c r="BK43" i="7"/>
  <c r="BJ16" i="7"/>
  <c r="BK16" i="7"/>
  <c r="BJ30" i="7"/>
  <c r="BK30" i="7"/>
  <c r="BJ14" i="7"/>
  <c r="BK14" i="7"/>
  <c r="BJ32" i="7"/>
  <c r="BK32" i="7"/>
  <c r="BK13" i="7"/>
  <c r="BJ13" i="7"/>
  <c r="BJ21" i="7"/>
  <c r="BK21" i="7"/>
  <c r="BJ29" i="7"/>
  <c r="BK29" i="7"/>
  <c r="BJ37" i="7"/>
  <c r="BK37" i="7"/>
  <c r="BK45" i="7"/>
  <c r="BJ45" i="7"/>
  <c r="AX23" i="7"/>
  <c r="AW23" i="7"/>
  <c r="AW18" i="7"/>
  <c r="AX18" i="7"/>
  <c r="AW34" i="7"/>
  <c r="AX34" i="7"/>
  <c r="AX17" i="7"/>
  <c r="AW17" i="7"/>
  <c r="AX25" i="7"/>
  <c r="AW25" i="7"/>
  <c r="AX33" i="7"/>
  <c r="AW33" i="7"/>
  <c r="AW12" i="7"/>
  <c r="AX12" i="7"/>
  <c r="AW20" i="7"/>
  <c r="AX20" i="7"/>
  <c r="AW28" i="7"/>
  <c r="AX28" i="7"/>
  <c r="AW36" i="7"/>
  <c r="AX36" i="7"/>
  <c r="AW44" i="7"/>
  <c r="AX44" i="7"/>
  <c r="AX19" i="7"/>
  <c r="AW19" i="7"/>
  <c r="AX27" i="7"/>
  <c r="AW27" i="7"/>
  <c r="AX35" i="7"/>
  <c r="AW35" i="7"/>
  <c r="AX43" i="7"/>
  <c r="AW43" i="7"/>
  <c r="AW16" i="7"/>
  <c r="AX16" i="7"/>
  <c r="AW24" i="7"/>
  <c r="AX24" i="7"/>
  <c r="AW32" i="7"/>
  <c r="AX32" i="7"/>
  <c r="AW40" i="7"/>
  <c r="AX40" i="7"/>
  <c r="AX15" i="7"/>
  <c r="AW15" i="7"/>
  <c r="AX31" i="7"/>
  <c r="AW31" i="7"/>
  <c r="AX39" i="7"/>
  <c r="AW39" i="7"/>
  <c r="AW26" i="7"/>
  <c r="AX26" i="7"/>
  <c r="AW42" i="7"/>
  <c r="AX42" i="7"/>
  <c r="AX41" i="7"/>
  <c r="AW41" i="7"/>
  <c r="AW14" i="7"/>
  <c r="AX14" i="7"/>
  <c r="AW22" i="7"/>
  <c r="AX22" i="7"/>
  <c r="AW30" i="7"/>
  <c r="AX30" i="7"/>
  <c r="AW38" i="7"/>
  <c r="AX38" i="7"/>
  <c r="AX13" i="7"/>
  <c r="AW13" i="7"/>
  <c r="AX21" i="7"/>
  <c r="AW21" i="7"/>
  <c r="AX29" i="7"/>
  <c r="AW29" i="7"/>
  <c r="AX37" i="7"/>
  <c r="AW37" i="7"/>
  <c r="AX45" i="7"/>
  <c r="AW45" i="7"/>
  <c r="AJ22" i="7"/>
  <c r="AK22" i="7"/>
  <c r="AJ20" i="7"/>
  <c r="AK20" i="7"/>
  <c r="AK15" i="7"/>
  <c r="AJ15" i="7"/>
  <c r="AK39" i="7"/>
  <c r="AJ39" i="7"/>
  <c r="AJ26" i="7"/>
  <c r="AK26" i="7"/>
  <c r="AJ42" i="7"/>
  <c r="AK42" i="7"/>
  <c r="AJ24" i="7"/>
  <c r="AK24" i="7"/>
  <c r="AJ17" i="7"/>
  <c r="AK17" i="7"/>
  <c r="AJ25" i="7"/>
  <c r="AK25" i="7"/>
  <c r="AJ33" i="7"/>
  <c r="AK33" i="7"/>
  <c r="AJ41" i="7"/>
  <c r="AK41" i="7"/>
  <c r="AJ14" i="7"/>
  <c r="AK14" i="7"/>
  <c r="AJ30" i="7"/>
  <c r="AK30" i="7"/>
  <c r="AJ12" i="7"/>
  <c r="AK12" i="7"/>
  <c r="AJ28" i="7"/>
  <c r="AK28" i="7"/>
  <c r="AJ44" i="7"/>
  <c r="AK44" i="7"/>
  <c r="AK19" i="7"/>
  <c r="AJ19" i="7"/>
  <c r="AK27" i="7"/>
  <c r="AJ27" i="7"/>
  <c r="AK35" i="7"/>
  <c r="AJ35" i="7"/>
  <c r="AK43" i="7"/>
  <c r="AJ43" i="7"/>
  <c r="AJ38" i="7"/>
  <c r="AK38" i="7"/>
  <c r="AJ36" i="7"/>
  <c r="AK36" i="7"/>
  <c r="AK23" i="7"/>
  <c r="AJ23" i="7"/>
  <c r="AK31" i="7"/>
  <c r="AJ31" i="7"/>
  <c r="AJ40" i="7"/>
  <c r="AK40" i="7"/>
  <c r="AJ18" i="7"/>
  <c r="AK18" i="7"/>
  <c r="AJ34" i="7"/>
  <c r="AK34" i="7"/>
  <c r="AJ16" i="7"/>
  <c r="AK16" i="7"/>
  <c r="AJ32" i="7"/>
  <c r="AK32" i="7"/>
  <c r="AJ13" i="7"/>
  <c r="AK13" i="7"/>
  <c r="AJ21" i="7"/>
  <c r="AK21" i="7"/>
  <c r="AJ29" i="7"/>
  <c r="AK29" i="7"/>
  <c r="AJ37" i="7"/>
  <c r="AK37" i="7"/>
  <c r="AK45" i="7"/>
  <c r="AJ45" i="7"/>
  <c r="W38" i="7"/>
  <c r="X38" i="7"/>
  <c r="W18" i="7"/>
  <c r="X18" i="7"/>
  <c r="W34" i="7"/>
  <c r="X34" i="7"/>
  <c r="W16" i="7"/>
  <c r="X16" i="7"/>
  <c r="W32" i="7"/>
  <c r="X32" i="7"/>
  <c r="X15" i="7"/>
  <c r="W15" i="7"/>
  <c r="W23" i="7"/>
  <c r="X23" i="7"/>
  <c r="X31" i="7"/>
  <c r="W31" i="7"/>
  <c r="X39" i="7"/>
  <c r="W39" i="7"/>
  <c r="W33" i="7"/>
  <c r="X33" i="7"/>
  <c r="W12" i="7"/>
  <c r="X12" i="7"/>
  <c r="W24" i="7"/>
  <c r="X24" i="7"/>
  <c r="W42" i="7"/>
  <c r="X42" i="7"/>
  <c r="W26" i="7"/>
  <c r="X26" i="7"/>
  <c r="W40" i="7"/>
  <c r="X40" i="7"/>
  <c r="W19" i="7"/>
  <c r="X19" i="7"/>
  <c r="W27" i="7"/>
  <c r="X27" i="7"/>
  <c r="X35" i="7"/>
  <c r="W35" i="7"/>
  <c r="W43" i="7"/>
  <c r="X43" i="7"/>
  <c r="W20" i="7"/>
  <c r="X20" i="7"/>
  <c r="W22" i="7"/>
  <c r="X22" i="7"/>
  <c r="W36" i="7"/>
  <c r="X36" i="7"/>
  <c r="W17" i="7"/>
  <c r="X17" i="7"/>
  <c r="X25" i="7"/>
  <c r="W25" i="7"/>
  <c r="W41" i="7"/>
  <c r="X41" i="7"/>
  <c r="W14" i="7"/>
  <c r="X14" i="7"/>
  <c r="W30" i="7"/>
  <c r="X30" i="7"/>
  <c r="W44" i="7"/>
  <c r="X44" i="7"/>
  <c r="W28" i="7"/>
  <c r="X28" i="7"/>
  <c r="X13" i="7"/>
  <c r="W13" i="7"/>
  <c r="X21" i="7"/>
  <c r="W21" i="7"/>
  <c r="W29" i="7"/>
  <c r="X29" i="7"/>
  <c r="W37" i="7"/>
  <c r="X37" i="7"/>
  <c r="W45" i="7"/>
  <c r="X45" i="7"/>
  <c r="F28" i="9"/>
  <c r="F40" i="9" s="1"/>
  <c r="F47" i="9" s="1"/>
  <c r="G28" i="9"/>
  <c r="G40" i="9" s="1"/>
  <c r="G47" i="9" s="1"/>
  <c r="H28" i="9"/>
  <c r="H40" i="9" s="1"/>
  <c r="H47" i="9" s="1"/>
  <c r="I28" i="9"/>
  <c r="I40" i="9" s="1"/>
  <c r="I47" i="9" s="1"/>
  <c r="J28" i="9"/>
  <c r="J40" i="9" s="1"/>
  <c r="J47" i="9" s="1"/>
  <c r="K44" i="9"/>
  <c r="H25" i="9"/>
  <c r="H37" i="9" s="1"/>
  <c r="H44" i="9" s="1"/>
  <c r="J25" i="9"/>
  <c r="J37" i="9" s="1"/>
  <c r="J44" i="9" s="1"/>
  <c r="F25" i="9"/>
  <c r="F37" i="9" s="1"/>
  <c r="F44" i="9" s="1"/>
  <c r="I25" i="9"/>
  <c r="I37" i="9" s="1"/>
  <c r="I44" i="9" s="1"/>
  <c r="G25" i="9"/>
  <c r="G37" i="9" s="1"/>
  <c r="G44" i="9" s="1"/>
  <c r="I19" i="11"/>
  <c r="I29" i="11" s="1"/>
  <c r="K38" i="9"/>
  <c r="K45" i="9" s="1"/>
  <c r="G29" i="9"/>
  <c r="G41" i="9" s="1"/>
  <c r="K29" i="9"/>
  <c r="K41" i="9" s="1"/>
  <c r="K48" i="9" s="1"/>
  <c r="BW12" i="7"/>
  <c r="BX12" i="7"/>
  <c r="I29" i="9"/>
  <c r="I41" i="9" s="1"/>
  <c r="BX19" i="7"/>
  <c r="BW19" i="7"/>
  <c r="BX43" i="7"/>
  <c r="BW43" i="7"/>
  <c r="BX16" i="7"/>
  <c r="BW16" i="7"/>
  <c r="BX21" i="7"/>
  <c r="BW21" i="7"/>
  <c r="BX45" i="7"/>
  <c r="BW45" i="7"/>
  <c r="BX28" i="7"/>
  <c r="BW28" i="7"/>
  <c r="BX25" i="7"/>
  <c r="BW25" i="7"/>
  <c r="BX22" i="7"/>
  <c r="BW22" i="7"/>
  <c r="BX36" i="7"/>
  <c r="BW36" i="7"/>
  <c r="BX32" i="7"/>
  <c r="BW32" i="7"/>
  <c r="BX29" i="7"/>
  <c r="BW29" i="7"/>
  <c r="BX14" i="7"/>
  <c r="BW14" i="7"/>
  <c r="BX31" i="7"/>
  <c r="BW31" i="7"/>
  <c r="BX18" i="7"/>
  <c r="BW18" i="7"/>
  <c r="BX23" i="7"/>
  <c r="BW23" i="7"/>
  <c r="BX42" i="7"/>
  <c r="BW42" i="7"/>
  <c r="BX26" i="7"/>
  <c r="BW26" i="7"/>
  <c r="BX33" i="7"/>
  <c r="BW33" i="7"/>
  <c r="BX24" i="7"/>
  <c r="BW24" i="7"/>
  <c r="BX34" i="7"/>
  <c r="BW34" i="7"/>
  <c r="BX27" i="7"/>
  <c r="BW27" i="7"/>
  <c r="BX40" i="7"/>
  <c r="BW40" i="7"/>
  <c r="BX35" i="7"/>
  <c r="BW35" i="7"/>
  <c r="BX38" i="7"/>
  <c r="BW38" i="7"/>
  <c r="BX41" i="7"/>
  <c r="BW41" i="7"/>
  <c r="BX30" i="7"/>
  <c r="BW30" i="7"/>
  <c r="BX13" i="7"/>
  <c r="BW13" i="7"/>
  <c r="BX37" i="7"/>
  <c r="BW37" i="7"/>
  <c r="BX20" i="7"/>
  <c r="BW20" i="7"/>
  <c r="BX17" i="7"/>
  <c r="BW17" i="7"/>
  <c r="BX15" i="7"/>
  <c r="BW15" i="7"/>
  <c r="BX39" i="7"/>
  <c r="BW39" i="7"/>
  <c r="BX44" i="7"/>
  <c r="BW44" i="7"/>
  <c r="J29" i="9"/>
  <c r="J41" i="9" s="1"/>
  <c r="F29" i="9"/>
  <c r="H29" i="9"/>
  <c r="H41" i="9" s="1"/>
  <c r="J26" i="9"/>
  <c r="I26" i="9"/>
  <c r="F26" i="9"/>
  <c r="G26" i="9"/>
  <c r="H26" i="9"/>
  <c r="H38" i="9" s="1"/>
  <c r="E16" i="11" l="1"/>
  <c r="E26" i="11" s="1"/>
  <c r="I17" i="11"/>
  <c r="I27" i="11" s="1"/>
  <c r="F16" i="11"/>
  <c r="F26" i="11" s="1"/>
  <c r="H16" i="11"/>
  <c r="H26" i="11" s="1"/>
  <c r="G16" i="11"/>
  <c r="G26" i="11" s="1"/>
  <c r="D16" i="11"/>
  <c r="D26" i="11" s="1"/>
  <c r="F41" i="9"/>
  <c r="D20" i="11" s="1"/>
  <c r="D30" i="11" s="1"/>
  <c r="G38" i="9"/>
  <c r="G45" i="9" s="1"/>
  <c r="F38" i="9"/>
  <c r="F45" i="9" s="1"/>
  <c r="I38" i="9"/>
  <c r="I45" i="9" s="1"/>
  <c r="J38" i="9"/>
  <c r="J45" i="9" s="1"/>
  <c r="E19" i="11"/>
  <c r="E29" i="11" s="1"/>
  <c r="J48" i="9"/>
  <c r="H19" i="11"/>
  <c r="H29" i="11" s="1"/>
  <c r="I48" i="9"/>
  <c r="G19" i="11"/>
  <c r="G29" i="11" s="1"/>
  <c r="D19" i="11"/>
  <c r="D29" i="11" s="1"/>
  <c r="G48" i="9"/>
  <c r="H45" i="9"/>
  <c r="H48" i="9"/>
  <c r="F19" i="11"/>
  <c r="F29" i="11" s="1"/>
  <c r="I20" i="11"/>
  <c r="I30" i="11" s="1"/>
  <c r="E17" i="11" l="1"/>
  <c r="E27" i="11" s="1"/>
  <c r="H17" i="11"/>
  <c r="H27" i="11" s="1"/>
  <c r="D17" i="11"/>
  <c r="D27" i="11" s="1"/>
  <c r="G17" i="11"/>
  <c r="G27" i="11" s="1"/>
  <c r="F48" i="9"/>
  <c r="G20" i="11"/>
  <c r="G30" i="11" s="1"/>
  <c r="F17" i="11"/>
  <c r="F27" i="11" s="1"/>
  <c r="H20" i="11"/>
  <c r="H30" i="11" s="1"/>
  <c r="E20" i="11"/>
  <c r="E30" i="11" s="1"/>
  <c r="F20" i="11"/>
  <c r="F30" i="11" s="1"/>
  <c r="I8" i="9" l="1"/>
  <c r="AR25" i="7" l="1"/>
  <c r="AR41" i="7"/>
  <c r="AR57" i="7"/>
  <c r="AR73" i="7"/>
  <c r="AR76" i="7"/>
  <c r="AR13" i="7"/>
  <c r="AR45" i="7"/>
  <c r="AR77" i="7"/>
  <c r="AR14" i="7"/>
  <c r="AR30" i="7"/>
  <c r="AR46" i="7"/>
  <c r="AR62" i="7"/>
  <c r="AR78" i="7"/>
  <c r="AR20" i="7"/>
  <c r="AR68" i="7"/>
  <c r="AR53" i="7"/>
  <c r="AR22" i="7"/>
  <c r="AR23" i="7"/>
  <c r="AR55" i="7"/>
  <c r="AR72" i="7"/>
  <c r="AR26" i="7"/>
  <c r="AR42" i="7"/>
  <c r="AR58" i="7"/>
  <c r="AR74" i="7"/>
  <c r="AR27" i="7"/>
  <c r="AR43" i="7"/>
  <c r="AR59" i="7"/>
  <c r="AR75" i="7"/>
  <c r="AR28" i="7"/>
  <c r="AR44" i="7"/>
  <c r="AR60" i="7"/>
  <c r="AR84" i="7"/>
  <c r="AR29" i="7"/>
  <c r="AR61" i="7"/>
  <c r="AR39" i="7"/>
  <c r="AR40" i="7"/>
  <c r="AR70" i="7"/>
  <c r="AR38" i="7"/>
  <c r="AR54" i="7"/>
  <c r="AR15" i="7"/>
  <c r="AR31" i="7"/>
  <c r="AR47" i="7"/>
  <c r="AR63" i="7"/>
  <c r="AR79" i="7"/>
  <c r="AR16" i="7"/>
  <c r="AR32" i="7"/>
  <c r="AR48" i="7"/>
  <c r="AR64" i="7"/>
  <c r="AR80" i="7"/>
  <c r="AR17" i="7"/>
  <c r="AR33" i="7"/>
  <c r="AR49" i="7"/>
  <c r="AR65" i="7"/>
  <c r="AR81" i="7"/>
  <c r="AR85" i="7"/>
  <c r="AR18" i="7"/>
  <c r="AR34" i="7"/>
  <c r="AR50" i="7"/>
  <c r="AR66" i="7"/>
  <c r="AR82" i="7"/>
  <c r="AR19" i="7"/>
  <c r="AR35" i="7"/>
  <c r="AR51" i="7"/>
  <c r="AR67" i="7"/>
  <c r="AR83" i="7"/>
  <c r="AR36" i="7"/>
  <c r="AR52" i="7"/>
  <c r="AR21" i="7"/>
  <c r="AR37" i="7"/>
  <c r="AR69" i="7"/>
  <c r="AR86" i="7"/>
  <c r="AR71" i="7"/>
  <c r="AR56" i="7"/>
  <c r="AR24" i="7"/>
  <c r="AR12" i="7"/>
  <c r="I9" i="9"/>
  <c r="K27" i="9" s="1"/>
  <c r="K39" i="9" l="1"/>
  <c r="K46" i="9" s="1"/>
  <c r="I27" i="9"/>
  <c r="J27" i="9"/>
  <c r="F27" i="9"/>
  <c r="G27" i="9"/>
  <c r="H27" i="9"/>
  <c r="I18" i="11" l="1"/>
  <c r="I28" i="11" s="1"/>
  <c r="H39" i="9"/>
  <c r="H46" i="9" s="1"/>
  <c r="F39" i="9"/>
  <c r="F46" i="9" s="1"/>
  <c r="I39" i="9"/>
  <c r="I46" i="9" s="1"/>
  <c r="G39" i="9"/>
  <c r="E18" i="11" s="1"/>
  <c r="E28" i="11" s="1"/>
  <c r="J39" i="9"/>
  <c r="H18" i="11" s="1"/>
  <c r="H28" i="11" s="1"/>
  <c r="D18" i="11" l="1"/>
  <c r="D28" i="11" s="1"/>
  <c r="F18" i="11"/>
  <c r="F28" i="11" s="1"/>
  <c r="G46" i="9"/>
  <c r="J46" i="9"/>
  <c r="G18" i="11"/>
  <c r="G28" i="11" s="1"/>
  <c r="D12" i="7" l="1"/>
  <c r="D1" i="7" l="1"/>
  <c r="A64" i="7"/>
  <c r="A32" i="7"/>
  <c r="A90" i="7"/>
  <c r="A53" i="7"/>
  <c r="A36" i="7"/>
  <c r="A77" i="7"/>
  <c r="A47" i="7"/>
  <c r="A59" i="7"/>
  <c r="A82" i="7"/>
  <c r="A70" i="7"/>
  <c r="A101" i="7"/>
  <c r="A109" i="7"/>
  <c r="A18" i="7"/>
  <c r="A23" i="7"/>
  <c r="A98" i="7"/>
  <c r="A49" i="7"/>
  <c r="A88" i="7"/>
  <c r="A69" i="7"/>
  <c r="A43" i="7"/>
  <c r="A74" i="7"/>
  <c r="A102" i="7"/>
  <c r="A14" i="7"/>
  <c r="A55" i="7"/>
  <c r="A26" i="7"/>
  <c r="A73" i="7"/>
  <c r="A100" i="7"/>
  <c r="A67" i="7"/>
  <c r="D2" i="7"/>
  <c r="D4" i="7" s="1"/>
  <c r="F8" i="9" s="1"/>
  <c r="A35" i="7"/>
  <c r="A106" i="7"/>
  <c r="A65" i="7"/>
  <c r="A15" i="7"/>
  <c r="A42" i="7"/>
  <c r="A89" i="7"/>
  <c r="A84" i="7"/>
  <c r="A78" i="7"/>
  <c r="A13" i="7"/>
  <c r="A105" i="7"/>
  <c r="A58" i="7"/>
  <c r="A81" i="7"/>
  <c r="A79" i="7"/>
  <c r="A38" i="7"/>
  <c r="A60" i="7"/>
  <c r="A44" i="7"/>
  <c r="A107" i="7"/>
  <c r="D8" i="7"/>
  <c r="A61" i="7"/>
  <c r="A96" i="7"/>
  <c r="A50" i="7"/>
  <c r="A30" i="7"/>
  <c r="A62" i="7"/>
  <c r="A83" i="7"/>
  <c r="A46" i="7"/>
  <c r="A91" i="7"/>
  <c r="A39" i="7"/>
  <c r="A71" i="7"/>
  <c r="A54" i="7"/>
  <c r="A27" i="7"/>
  <c r="A99" i="7"/>
  <c r="A37" i="7"/>
  <c r="A52" i="7"/>
  <c r="A31" i="7"/>
  <c r="A29" i="7"/>
  <c r="A68" i="7"/>
  <c r="A40" i="7"/>
  <c r="A97" i="7"/>
  <c r="A48" i="7"/>
  <c r="A16" i="7"/>
  <c r="A92" i="7"/>
  <c r="A66" i="7"/>
  <c r="A12" i="7"/>
  <c r="A108" i="7"/>
  <c r="A41" i="7"/>
  <c r="A95" i="7"/>
  <c r="A80" i="7"/>
  <c r="A86" i="7"/>
  <c r="A94" i="7"/>
  <c r="A17" i="7"/>
  <c r="A28" i="7"/>
  <c r="A57" i="7"/>
  <c r="A75" i="7"/>
  <c r="A33" i="7"/>
  <c r="A104" i="7"/>
  <c r="A22" i="7"/>
  <c r="A87" i="7"/>
  <c r="A20" i="7"/>
  <c r="A51" i="7"/>
  <c r="A63" i="7"/>
  <c r="A76" i="7"/>
  <c r="A56" i="7"/>
  <c r="A72" i="7"/>
  <c r="A93" i="7"/>
  <c r="A34" i="7"/>
  <c r="A25" i="7"/>
  <c r="A21" i="7"/>
  <c r="A103" i="7"/>
  <c r="A85" i="7"/>
  <c r="A19" i="7"/>
  <c r="A24" i="7"/>
  <c r="A45" i="7"/>
  <c r="L21" i="7" l="1"/>
  <c r="L37" i="7"/>
  <c r="L40" i="7"/>
  <c r="L45" i="7"/>
  <c r="L33" i="7"/>
  <c r="L34" i="7"/>
  <c r="L36" i="7"/>
  <c r="L22" i="7"/>
  <c r="L38" i="7"/>
  <c r="L39" i="7"/>
  <c r="L41" i="7"/>
  <c r="L30" i="7"/>
  <c r="L31" i="7"/>
  <c r="L18" i="7"/>
  <c r="L19" i="7"/>
  <c r="L20" i="7"/>
  <c r="L23" i="7"/>
  <c r="L24" i="7"/>
  <c r="L25" i="7"/>
  <c r="L26" i="7"/>
  <c r="L42" i="7"/>
  <c r="L43" i="7"/>
  <c r="L44" i="7"/>
  <c r="L29" i="7"/>
  <c r="L12" i="7"/>
  <c r="L17" i="7"/>
  <c r="L27" i="7"/>
  <c r="L28" i="7"/>
  <c r="L13" i="7"/>
  <c r="L14" i="7"/>
  <c r="L15" i="7"/>
  <c r="L16" i="7"/>
  <c r="L32" i="7"/>
  <c r="L35" i="7"/>
  <c r="B19" i="7"/>
  <c r="C19" i="7" s="1"/>
  <c r="B17" i="7"/>
  <c r="C17" i="7" s="1"/>
  <c r="B29" i="7"/>
  <c r="C29" i="7" s="1"/>
  <c r="B15" i="7"/>
  <c r="C15" i="7" s="1"/>
  <c r="B26" i="7"/>
  <c r="C26" i="7" s="1"/>
  <c r="B20" i="7"/>
  <c r="C20" i="7" s="1"/>
  <c r="B27" i="7"/>
  <c r="C27" i="7" s="1"/>
  <c r="B30" i="7"/>
  <c r="C30" i="7" s="1"/>
  <c r="B25" i="7"/>
  <c r="C25" i="7" s="1"/>
  <c r="B16" i="7"/>
  <c r="C16" i="7" s="1"/>
  <c r="B14" i="7"/>
  <c r="C14" i="7" s="1"/>
  <c r="B23" i="7"/>
  <c r="C23" i="7" s="1"/>
  <c r="B21" i="7"/>
  <c r="C21" i="7" s="1"/>
  <c r="B22" i="7"/>
  <c r="C22" i="7" s="1"/>
  <c r="B31" i="7"/>
  <c r="C31" i="7" s="1"/>
  <c r="B24" i="7"/>
  <c r="C24" i="7" s="1"/>
  <c r="B28" i="7"/>
  <c r="C28" i="7" s="1"/>
  <c r="B12" i="7"/>
  <c r="C12" i="7" s="1"/>
  <c r="B13" i="7"/>
  <c r="C13" i="7" s="1"/>
  <c r="B18" i="7"/>
  <c r="C18" i="7" s="1"/>
  <c r="D5" i="7"/>
  <c r="H38" i="7" l="1"/>
  <c r="H29" i="7"/>
  <c r="H43" i="7"/>
  <c r="H33" i="7"/>
  <c r="H17" i="7"/>
  <c r="H18" i="7"/>
  <c r="H45" i="7"/>
  <c r="H22" i="7"/>
  <c r="E13" i="7"/>
  <c r="E71" i="7"/>
  <c r="E90" i="7"/>
  <c r="E86" i="7"/>
  <c r="E63" i="7"/>
  <c r="E23" i="7"/>
  <c r="E14" i="7"/>
  <c r="E84" i="7"/>
  <c r="E74" i="7"/>
  <c r="E27" i="7"/>
  <c r="E42" i="7"/>
  <c r="E98" i="7"/>
  <c r="E105" i="7"/>
  <c r="E43" i="7"/>
  <c r="E96" i="7"/>
  <c r="E49" i="7"/>
  <c r="E46" i="7"/>
  <c r="E28" i="7"/>
  <c r="E76" i="7"/>
  <c r="E62" i="7"/>
  <c r="E34" i="7"/>
  <c r="E60" i="7"/>
  <c r="E55" i="7"/>
  <c r="E91" i="7"/>
  <c r="H30" i="7"/>
  <c r="H34" i="7"/>
  <c r="H27" i="7"/>
  <c r="H25" i="7"/>
  <c r="H14" i="7"/>
  <c r="H19" i="7"/>
  <c r="H41" i="7"/>
  <c r="H36" i="7"/>
  <c r="E75" i="7"/>
  <c r="E31" i="7"/>
  <c r="E104" i="7"/>
  <c r="E39" i="7"/>
  <c r="E45" i="7"/>
  <c r="E101" i="7"/>
  <c r="E54" i="7"/>
  <c r="E52" i="7"/>
  <c r="E80" i="7"/>
  <c r="E59" i="7"/>
  <c r="E83" i="7"/>
  <c r="E92" i="7"/>
  <c r="E30" i="7"/>
  <c r="E44" i="7"/>
  <c r="E107" i="7"/>
  <c r="E37" i="7"/>
  <c r="E67" i="7"/>
  <c r="E89" i="7"/>
  <c r="E69" i="7"/>
  <c r="E24" i="7"/>
  <c r="E47" i="7"/>
  <c r="E70" i="7"/>
  <c r="E25" i="7"/>
  <c r="E100" i="7"/>
  <c r="H35" i="7"/>
  <c r="H39" i="7"/>
  <c r="H12" i="7"/>
  <c r="H16" i="7"/>
  <c r="H31" i="7"/>
  <c r="E12" i="7"/>
  <c r="E93" i="7"/>
  <c r="E64" i="7"/>
  <c r="E102" i="7"/>
  <c r="E77" i="7"/>
  <c r="E35" i="7"/>
  <c r="E109" i="7"/>
  <c r="E97" i="7"/>
  <c r="E78" i="7"/>
  <c r="E106" i="7"/>
  <c r="E21" i="7"/>
  <c r="E72" i="7"/>
  <c r="E108" i="7"/>
  <c r="F9" i="9"/>
  <c r="H28" i="7"/>
  <c r="H37" i="7"/>
  <c r="H40" i="7"/>
  <c r="H15" i="7"/>
  <c r="H24" i="7"/>
  <c r="E51" i="7"/>
  <c r="E22" i="7"/>
  <c r="E17" i="7"/>
  <c r="E29" i="7"/>
  <c r="E32" i="7"/>
  <c r="E16" i="7"/>
  <c r="E85" i="7"/>
  <c r="E82" i="7"/>
  <c r="E81" i="7"/>
  <c r="E18" i="7"/>
  <c r="E68" i="7"/>
  <c r="E40" i="7"/>
  <c r="E103" i="7"/>
  <c r="H23" i="7"/>
  <c r="H20" i="7"/>
  <c r="E56" i="7"/>
  <c r="E66" i="7"/>
  <c r="E95" i="7"/>
  <c r="E79" i="7"/>
  <c r="E58" i="7"/>
  <c r="E87" i="7"/>
  <c r="H44" i="7"/>
  <c r="H42" i="7"/>
  <c r="E26" i="7"/>
  <c r="E38" i="7"/>
  <c r="E50" i="7"/>
  <c r="E36" i="7"/>
  <c r="E41" i="7"/>
  <c r="E73" i="7"/>
  <c r="H21" i="7"/>
  <c r="H26" i="7"/>
  <c r="E20" i="7"/>
  <c r="E94" i="7"/>
  <c r="E61" i="7"/>
  <c r="E15" i="7"/>
  <c r="E88" i="7"/>
  <c r="E57" i="7"/>
  <c r="H13" i="7"/>
  <c r="E65" i="7"/>
  <c r="E53" i="7"/>
  <c r="E99" i="7"/>
  <c r="H32" i="7"/>
  <c r="E33" i="7"/>
  <c r="E48" i="7"/>
  <c r="E19" i="7"/>
  <c r="K24" i="7" l="1"/>
  <c r="J24" i="7"/>
  <c r="J28" i="7"/>
  <c r="K28" i="7"/>
  <c r="K36" i="7"/>
  <c r="J36" i="7"/>
  <c r="J25" i="7"/>
  <c r="K25" i="7"/>
  <c r="K33" i="7"/>
  <c r="J33" i="7"/>
  <c r="J42" i="7"/>
  <c r="K42" i="7"/>
  <c r="K15" i="7"/>
  <c r="J15" i="7"/>
  <c r="J27" i="7"/>
  <c r="K27" i="7"/>
  <c r="J45" i="7"/>
  <c r="K45" i="7"/>
  <c r="J43" i="7"/>
  <c r="K43" i="7"/>
  <c r="J32" i="7"/>
  <c r="K32" i="7"/>
  <c r="J13" i="7"/>
  <c r="K13" i="7"/>
  <c r="K21" i="7"/>
  <c r="J21" i="7"/>
  <c r="J44" i="7"/>
  <c r="K44" i="7"/>
  <c r="K23" i="7"/>
  <c r="J23" i="7"/>
  <c r="J40" i="7"/>
  <c r="K40" i="7"/>
  <c r="K39" i="7"/>
  <c r="J39" i="7"/>
  <c r="J19" i="7"/>
  <c r="K19" i="7"/>
  <c r="J34" i="7"/>
  <c r="K34" i="7"/>
  <c r="J18" i="7"/>
  <c r="K18" i="7"/>
  <c r="J29" i="7"/>
  <c r="K29" i="7"/>
  <c r="K16" i="7"/>
  <c r="J16" i="7"/>
  <c r="J22" i="7"/>
  <c r="K22" i="7"/>
  <c r="K26" i="7"/>
  <c r="J26" i="7"/>
  <c r="K20" i="7"/>
  <c r="J20" i="7"/>
  <c r="G24" i="9"/>
  <c r="G36" i="9" s="1"/>
  <c r="H24" i="9"/>
  <c r="H36" i="9" s="1"/>
  <c r="K24" i="9"/>
  <c r="K36" i="9" s="1"/>
  <c r="J24" i="9"/>
  <c r="J36" i="9" s="1"/>
  <c r="F24" i="9"/>
  <c r="F36" i="9" s="1"/>
  <c r="D15" i="11" s="1"/>
  <c r="I24" i="9"/>
  <c r="I36" i="9" s="1"/>
  <c r="J12" i="7"/>
  <c r="K12" i="7"/>
  <c r="J41" i="7"/>
  <c r="K41" i="7"/>
  <c r="J37" i="7"/>
  <c r="K37" i="7"/>
  <c r="K31" i="7"/>
  <c r="J31" i="7"/>
  <c r="K35" i="7"/>
  <c r="J35" i="7"/>
  <c r="J14" i="7"/>
  <c r="K14" i="7"/>
  <c r="K30" i="7"/>
  <c r="J30" i="7"/>
  <c r="K17" i="7"/>
  <c r="J17" i="7"/>
  <c r="K38" i="7"/>
  <c r="J38" i="7"/>
  <c r="G15" i="11" l="1"/>
  <c r="G25" i="11" s="1"/>
  <c r="I43" i="9"/>
  <c r="E15" i="11"/>
  <c r="E25" i="11" s="1"/>
  <c r="G43" i="9"/>
  <c r="H15" i="11"/>
  <c r="H25" i="11" s="1"/>
  <c r="J43" i="9"/>
  <c r="F15" i="11"/>
  <c r="F25" i="11" s="1"/>
  <c r="H43" i="9"/>
  <c r="D25" i="11"/>
  <c r="F43" i="9"/>
  <c r="K43" i="9"/>
  <c r="I15" i="11"/>
  <c r="I25" i="11" s="1"/>
  <c r="F34" i="11" l="1"/>
  <c r="F37" i="11" s="1"/>
  <c r="F33" i="11"/>
  <c r="F36" i="11" s="1"/>
  <c r="E34" i="11"/>
  <c r="E37" i="11" s="1"/>
  <c r="E33" i="11"/>
  <c r="E36" i="11" s="1"/>
  <c r="I34" i="11"/>
  <c r="I37" i="11" s="1"/>
  <c r="I33" i="11"/>
  <c r="I36" i="11" s="1"/>
  <c r="D34" i="11"/>
  <c r="D37" i="11" s="1"/>
  <c r="D33" i="11"/>
  <c r="D36" i="11" s="1"/>
  <c r="H34" i="11"/>
  <c r="H37" i="11" s="1"/>
  <c r="H33" i="11"/>
  <c r="H36" i="11" s="1"/>
  <c r="G34" i="11"/>
  <c r="G37" i="11" s="1"/>
  <c r="G33" i="11"/>
  <c r="G36" i="11" s="1"/>
  <c r="G47" i="11" l="1"/>
  <c r="G46" i="11"/>
  <c r="G38" i="11"/>
  <c r="G50" i="11"/>
  <c r="G48" i="11"/>
  <c r="G51" i="11"/>
  <c r="G49" i="11"/>
  <c r="E48" i="11"/>
  <c r="E50" i="11"/>
  <c r="E51" i="11"/>
  <c r="E47" i="11"/>
  <c r="E46" i="11"/>
  <c r="E38" i="11"/>
  <c r="E49" i="11"/>
  <c r="D38" i="11"/>
  <c r="D48" i="11"/>
  <c r="D46" i="11"/>
  <c r="D50" i="11"/>
  <c r="D51" i="11"/>
  <c r="D49" i="11"/>
  <c r="D47" i="11"/>
  <c r="H46" i="11"/>
  <c r="H49" i="11"/>
  <c r="H48" i="11"/>
  <c r="H50" i="11"/>
  <c r="H38" i="11"/>
  <c r="H47" i="11"/>
  <c r="H51" i="11"/>
  <c r="I46" i="11"/>
  <c r="I38" i="11"/>
  <c r="I50" i="11"/>
  <c r="I48" i="11"/>
  <c r="I51" i="11"/>
  <c r="I47" i="11"/>
  <c r="I49" i="11"/>
  <c r="F51" i="11"/>
  <c r="F50" i="11"/>
  <c r="F48" i="11"/>
  <c r="F47" i="11"/>
  <c r="F38" i="11"/>
  <c r="F49" i="11"/>
  <c r="F46" i="11"/>
  <c r="E57" i="11" l="1"/>
  <c r="E56" i="11"/>
  <c r="E55" i="11"/>
  <c r="E58" i="11"/>
  <c r="E59" i="11"/>
  <c r="E54" i="11"/>
  <c r="F59" i="11"/>
  <c r="F55" i="11"/>
  <c r="F56" i="11"/>
  <c r="F58" i="11"/>
  <c r="F57" i="11"/>
  <c r="F54" i="11"/>
  <c r="D57" i="11"/>
  <c r="D58" i="11"/>
  <c r="D56" i="11"/>
  <c r="D55" i="11"/>
  <c r="D54" i="11"/>
  <c r="D59" i="11"/>
  <c r="G57" i="11"/>
  <c r="G55" i="11"/>
  <c r="G59" i="11"/>
  <c r="G58" i="11"/>
  <c r="G54" i="11"/>
  <c r="G56" i="11"/>
  <c r="I56" i="11"/>
  <c r="I58" i="11"/>
  <c r="I55" i="11"/>
  <c r="I59" i="11"/>
  <c r="I54" i="11"/>
  <c r="I57" i="11"/>
  <c r="H59" i="11"/>
  <c r="H58" i="11"/>
  <c r="H55" i="11"/>
  <c r="H56" i="11"/>
  <c r="H54" i="11"/>
  <c r="H5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<sst xmlns="http://schemas.openxmlformats.org/spreadsheetml/2006/main" count="293" uniqueCount="69">
  <si>
    <t>[mm]</t>
  </si>
  <si>
    <t>[-]</t>
  </si>
  <si>
    <t>rang</t>
  </si>
  <si>
    <t>variable réduite
de Gumbel</t>
  </si>
  <si>
    <t>moyenne =</t>
  </si>
  <si>
    <t>variance =</t>
  </si>
  <si>
    <t>paramètre b =</t>
  </si>
  <si>
    <t>paramètre a =</t>
  </si>
  <si>
    <t>année</t>
  </si>
  <si>
    <t>fréquence empirique
de Hazen</t>
  </si>
  <si>
    <t>Paramétres a et b des droites d'ajustement (méthode des moments) :</t>
  </si>
  <si>
    <t>Lame précipitée</t>
  </si>
  <si>
    <t>intensité moyenne</t>
  </si>
  <si>
    <t>[mm/h]</t>
  </si>
  <si>
    <t>probabilité cumulée de non dépassement F =</t>
  </si>
  <si>
    <t>variable réduite de Gumbel u =</t>
  </si>
  <si>
    <t>Estimation des lames précipitées:</t>
  </si>
  <si>
    <t>Durée de la pluie</t>
  </si>
  <si>
    <t>Estimation des intensités pluviométriques:</t>
  </si>
  <si>
    <t>[an]</t>
  </si>
  <si>
    <t>Estimation des paramètres de la loi de Montana:</t>
  </si>
  <si>
    <t>Ln(t)</t>
  </si>
  <si>
    <t>Ln(i)</t>
  </si>
  <si>
    <t>paramètre "pente" =</t>
  </si>
  <si>
    <t>paramètre "ordonnée à l'origine" =</t>
  </si>
  <si>
    <t>paramètre "b" de Montana =</t>
  </si>
  <si>
    <t xml:space="preserve">Courbes IDF </t>
  </si>
  <si>
    <t>durée de la pluie</t>
  </si>
  <si>
    <t xml:space="preserve"> [h]</t>
  </si>
  <si>
    <t>[min]</t>
  </si>
  <si>
    <t>Calcul des paramètres de la formule de Montana</t>
  </si>
  <si>
    <t>Intervalle de confiance à 95%</t>
  </si>
  <si>
    <r>
      <t>T</t>
    </r>
    <r>
      <rPr>
        <b/>
        <vertAlign val="subscript"/>
        <sz val="11"/>
        <color theme="0" tint="-0.499984740745262"/>
        <rFont val="Calibri"/>
        <family val="2"/>
        <scheme val="minor"/>
      </rPr>
      <t>R</t>
    </r>
    <r>
      <rPr>
        <b/>
        <sz val="11"/>
        <color theme="0" tint="-0.499984740745262"/>
        <rFont val="Calibri"/>
        <family val="2"/>
        <scheme val="minor"/>
      </rPr>
      <t xml:space="preserve"> </t>
    </r>
  </si>
  <si>
    <t>F</t>
  </si>
  <si>
    <t>H max</t>
  </si>
  <si>
    <t>u</t>
  </si>
  <si>
    <r>
      <rPr>
        <b/>
        <sz val="11"/>
        <color theme="0" tint="-0.499984740745262"/>
        <rFont val="Calibri"/>
        <family val="2"/>
      </rPr>
      <t>σ</t>
    </r>
    <r>
      <rPr>
        <b/>
        <vertAlign val="subscript"/>
        <sz val="11"/>
        <color theme="0" tint="-0.499984740745262"/>
        <rFont val="Calibri"/>
        <family val="2"/>
        <scheme val="minor"/>
      </rPr>
      <t>QJM</t>
    </r>
  </si>
  <si>
    <t>N=</t>
  </si>
  <si>
    <t>temps de retour = 5 ans</t>
  </si>
  <si>
    <t>temps de retour = 20 ans</t>
  </si>
  <si>
    <t>temps de retour = 10 ans</t>
  </si>
  <si>
    <t>temps de retour = 50 ans</t>
  </si>
  <si>
    <t>temps de retour = 30 ans</t>
  </si>
  <si>
    <t>[h]</t>
  </si>
  <si>
    <t>Weiss</t>
  </si>
  <si>
    <t>mm/min</t>
  </si>
  <si>
    <t>temps de retour =100 ans</t>
  </si>
  <si>
    <t>min</t>
  </si>
  <si>
    <t>paramètre "60*a" de Montana =</t>
  </si>
  <si>
    <t>a</t>
  </si>
  <si>
    <t>6h</t>
  </si>
  <si>
    <t>RR</t>
  </si>
  <si>
    <t>Coefficient de Weiss:</t>
  </si>
  <si>
    <t>RR tri</t>
  </si>
  <si>
    <t>teste</t>
  </si>
  <si>
    <t>Obs</t>
  </si>
  <si>
    <t>Ajust</t>
  </si>
  <si>
    <t>PDT min</t>
  </si>
  <si>
    <t>PDT titre</t>
  </si>
  <si>
    <t>Estimation des lames précipitées pour différents temps de retour pour la période</t>
  </si>
  <si>
    <t xml:space="preserve"> [min]</t>
  </si>
  <si>
    <t>Intensité</t>
  </si>
  <si>
    <t>Hauteur</t>
  </si>
  <si>
    <t>r1</t>
  </si>
  <si>
    <t>r2</t>
  </si>
  <si>
    <t>r10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</si>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</sst>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rgb="FF3F3F3F"/>
      <name val="Arial"/>
      <family val="2"/>
    </font>
    <font>
      <sz val="10"/>
      <color indexed="10"/>
      <name val="Arial"/>
      <family val="2"/>
    </font>
    <font>
      <b/>
      <sz val="10"/>
      <color indexed="48"/>
      <name val="Arial"/>
      <family val="2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vertAlign val="subscript"/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7" fillId="2" borderId="1" applyNumberFormat="0" applyAlignment="0" applyProtection="0"/>
    <xf numFmtId="0" fontId="10" fillId="5" borderId="10" applyNumberFormat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4" fontId="0" fillId="0" borderId="0" xfId="0" applyNumberFormat="1"/>
    <xf numFmtId="0" fontId="2" fillId="0" borderId="0" xfId="0" applyFont="1"/>
    <xf numFmtId="0" fontId="8" fillId="0" borderId="0" xfId="0" applyFont="1" applyAlignment="1">
      <alignment horizontal="centerContinuous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9" fillId="0" borderId="2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5" xfId="0" applyBorder="1"/>
    <xf numFmtId="0" fontId="5" fillId="0" borderId="5" xfId="0" applyFont="1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Continuous"/>
    </xf>
    <xf numFmtId="0" fontId="0" fillId="0" borderId="9" xfId="0" applyBorder="1"/>
    <xf numFmtId="0" fontId="3" fillId="0" borderId="0" xfId="0" applyFont="1" applyAlignment="1">
      <alignment horizontal="centerContinuous"/>
    </xf>
    <xf numFmtId="0" fontId="3" fillId="4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165" fontId="3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0" fillId="0" borderId="0" xfId="0" applyNumberFormat="1"/>
    <xf numFmtId="2" fontId="5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1" fontId="0" fillId="0" borderId="0" xfId="0" applyNumberFormat="1"/>
    <xf numFmtId="164" fontId="5" fillId="3" borderId="0" xfId="0" applyNumberFormat="1" applyFont="1" applyFill="1" applyAlignment="1">
      <alignment horizontal="center"/>
    </xf>
    <xf numFmtId="0" fontId="12" fillId="6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2" fontId="15" fillId="6" borderId="11" xfId="0" applyNumberFormat="1" applyFont="1" applyFill="1" applyBorder="1" applyAlignment="1">
      <alignment horizontal="center"/>
    </xf>
    <xf numFmtId="2" fontId="15" fillId="0" borderId="11" xfId="0" applyNumberFormat="1" applyFont="1" applyBorder="1" applyAlignment="1">
      <alignment horizontal="center"/>
    </xf>
    <xf numFmtId="1" fontId="15" fillId="6" borderId="11" xfId="0" applyNumberFormat="1" applyFont="1" applyFill="1" applyBorder="1" applyAlignment="1">
      <alignment horizontal="center"/>
    </xf>
    <xf numFmtId="166" fontId="15" fillId="0" borderId="11" xfId="0" applyNumberFormat="1" applyFont="1" applyBorder="1" applyAlignment="1">
      <alignment horizontal="center"/>
    </xf>
    <xf numFmtId="0" fontId="10" fillId="5" borderId="10" xfId="4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/>
    <xf numFmtId="165" fontId="0" fillId="0" borderId="0" xfId="0" applyNumberFormat="1" applyAlignment="1">
      <alignment horizontal="center"/>
    </xf>
    <xf numFmtId="0" fontId="11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6" fillId="0" borderId="0" xfId="0" applyFont="1"/>
    <xf numFmtId="0" fontId="16" fillId="0" borderId="6" xfId="0" applyFont="1" applyBorder="1"/>
    <xf numFmtId="2" fontId="0" fillId="0" borderId="0" xfId="0" applyNumberFormat="1" applyAlignment="1">
      <alignment horizontal="center"/>
    </xf>
    <xf numFmtId="2" fontId="5" fillId="3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/>
    </xf>
    <xf numFmtId="164" fontId="16" fillId="7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5" xfId="0" applyFont="1" applyBorder="1" applyAlignment="1">
      <alignment horizontal="center"/>
    </xf>
    <xf numFmtId="165" fontId="16" fillId="0" borderId="0" xfId="0" applyNumberFormat="1" applyFont="1"/>
    <xf numFmtId="0" fontId="0" fillId="0" borderId="0" xfId="0" applyAlignment="1">
      <alignment vertical="center" textRotation="90"/>
    </xf>
    <xf numFmtId="0" fontId="0" fillId="9" borderId="0" xfId="0" applyFill="1"/>
    <xf numFmtId="0" fontId="11" fillId="0" borderId="11" xfId="0" applyFont="1" applyBorder="1" applyAlignment="1">
      <alignment horizontal="left"/>
    </xf>
    <xf numFmtId="0" fontId="0" fillId="10" borderId="0" xfId="0" applyFill="1"/>
    <xf numFmtId="0" fontId="17" fillId="0" borderId="0" xfId="0" applyFont="1"/>
    <xf numFmtId="0" fontId="0" fillId="0" borderId="0" xfId="0" applyAlignment="1">
      <alignment horizontal="center" vertical="center" textRotation="90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</cellXfs>
  <cellStyles count="5">
    <cellStyle name="Entrée" xfId="4" builtinId="20"/>
    <cellStyle name="Normal" xfId="0" builtinId="0"/>
    <cellStyle name="Normal 2" xfId="1" xr:uid="{00000000-0005-0000-0000-000001000000}"/>
    <cellStyle name="Normal 3" xfId="2" xr:uid="{00000000-0005-0000-0000-000002000000}"/>
    <cellStyle name="Sorti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611111111111113E-2"/>
          <c:y val="4.4239717054107591E-2"/>
          <c:w val="0.84921132038313729"/>
          <c:h val="0.83824910752715409"/>
        </c:manualLayout>
      </c:layout>
      <c:scatterChart>
        <c:scatterStyle val="lineMarker"/>
        <c:varyColors val="0"/>
        <c:ser>
          <c:idx val="0"/>
          <c:order val="1"/>
          <c:tx>
            <c:strRef>
              <c:f>'Ajustement de GUMBEL'!$D$9</c:f>
              <c:strCache>
                <c:ptCount val="1"/>
                <c:pt idx="0">
                  <c:v>r1_obs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'Ajustement de GUMBEL'!$C$12:$C$1000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GUMBEL'!$D$12:$D$1000</c:f>
              <c:numCache>
                <c:formatCode>General</c:formatCode>
                <c:ptCount val="989"/>
                <c:pt idx="0">
                  <c:v>26.361986864358201</c:v>
                </c:pt>
                <c:pt idx="1">
                  <c:v>32.869200613349697</c:v>
                </c:pt>
                <c:pt idx="2">
                  <c:v>42.927400432527101</c:v>
                </c:pt>
                <c:pt idx="3">
                  <c:v>47.048988416790998</c:v>
                </c:pt>
                <c:pt idx="4">
                  <c:v>48.113587349653201</c:v>
                </c:pt>
                <c:pt idx="5">
                  <c:v>48.386913165450103</c:v>
                </c:pt>
                <c:pt idx="6">
                  <c:v>50.666394867003</c:v>
                </c:pt>
                <c:pt idx="7">
                  <c:v>50.704897977411697</c:v>
                </c:pt>
                <c:pt idx="8">
                  <c:v>52.0278409123421</c:v>
                </c:pt>
                <c:pt idx="9">
                  <c:v>53.786801397800403</c:v>
                </c:pt>
                <c:pt idx="10">
                  <c:v>55.202283561229699</c:v>
                </c:pt>
                <c:pt idx="11">
                  <c:v>68.347725234925704</c:v>
                </c:pt>
                <c:pt idx="12">
                  <c:v>70.875375978648705</c:v>
                </c:pt>
                <c:pt idx="13">
                  <c:v>71.921180002391296</c:v>
                </c:pt>
                <c:pt idx="14">
                  <c:v>73.686024583876105</c:v>
                </c:pt>
                <c:pt idx="15">
                  <c:v>79.012511484324904</c:v>
                </c:pt>
                <c:pt idx="16">
                  <c:v>85.479384474456296</c:v>
                </c:pt>
                <c:pt idx="17">
                  <c:v>115.31745940446901</c:v>
                </c:pt>
                <c:pt idx="18">
                  <c:v>130.40715627372299</c:v>
                </c:pt>
                <c:pt idx="19">
                  <c:v>145.24440430104701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BD7-46D9-B893-FB3F1FA7D2C2}"/>
            </c:ext>
          </c:extLst>
        </c:ser>
        <c:ser>
          <c:idx val="5"/>
          <c:order val="5"/>
          <c:tx>
            <c:strRef>
              <c:f>'Ajustement de GUMBEL'!$AQ$9</c:f>
              <c:strCache>
                <c:ptCount val="1"/>
                <c:pt idx="0">
                  <c:v>r3_obs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'Ajustement de GUMBEL'!$AP$12:$AP$1000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GUMBEL'!$AQ$12:$AQ$1000</c:f>
              <c:numCache>
                <c:formatCode>General</c:formatCode>
                <c:ptCount val="989"/>
                <c:pt idx="0">
                  <c:v>32.911837678402698</c:v>
                </c:pt>
                <c:pt idx="1">
                  <c:v>35.3426618501544</c:v>
                </c:pt>
                <c:pt idx="2">
                  <c:v>39.488640166819103</c:v>
                </c:pt>
                <c:pt idx="3">
                  <c:v>46.103955321013899</c:v>
                </c:pt>
                <c:pt idx="4">
                  <c:v>47.186495214700699</c:v>
                </c:pt>
                <c:pt idx="5">
                  <c:v>48.560494501143701</c:v>
                </c:pt>
                <c:pt idx="6">
                  <c:v>49.235622100531998</c:v>
                </c:pt>
                <c:pt idx="7">
                  <c:v>53.175627887249</c:v>
                </c:pt>
                <c:pt idx="8">
                  <c:v>57.815446816384799</c:v>
                </c:pt>
                <c:pt idx="9">
                  <c:v>58.036922179162502</c:v>
                </c:pt>
                <c:pt idx="10">
                  <c:v>63.557695895433397</c:v>
                </c:pt>
                <c:pt idx="11">
                  <c:v>64.341592267155605</c:v>
                </c:pt>
                <c:pt idx="12">
                  <c:v>67.232443615794196</c:v>
                </c:pt>
                <c:pt idx="13">
                  <c:v>68.347725234925704</c:v>
                </c:pt>
                <c:pt idx="14">
                  <c:v>79.541657678782897</c:v>
                </c:pt>
                <c:pt idx="15">
                  <c:v>108.046071566641</c:v>
                </c:pt>
                <c:pt idx="16">
                  <c:v>122.455571964383</c:v>
                </c:pt>
                <c:pt idx="17">
                  <c:v>130.40715627372299</c:v>
                </c:pt>
                <c:pt idx="18">
                  <c:v>174.135995730758</c:v>
                </c:pt>
                <c:pt idx="19">
                  <c:v>178.83378759026499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BD7-46D9-B893-FB3F1FA7D2C2}"/>
            </c:ext>
          </c:extLst>
        </c:ser>
        <c:ser>
          <c:idx val="7"/>
          <c:order val="7"/>
          <c:tx>
            <c:strRef>
              <c:f>'Ajustement de GUMBEL'!$BD$9</c:f>
              <c:strCache>
                <c:ptCount val="1"/>
                <c:pt idx="0">
                  <c:v>r4_obs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'Ajustement de GUMBEL'!$BC$12:$BC$1000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GUMBEL'!$BD$12:$BD$1000</c:f>
              <c:numCache>
                <c:formatCode>General</c:formatCode>
                <c:ptCount val="989"/>
                <c:pt idx="0">
                  <c:v>34.6136228553951</c:v>
                </c:pt>
                <c:pt idx="1">
                  <c:v>37.605600189417601</c:v>
                </c:pt>
                <c:pt idx="2">
                  <c:v>42.456313669681499</c:v>
                </c:pt>
                <c:pt idx="3">
                  <c:v>44.353999011218498</c:v>
                </c:pt>
                <c:pt idx="4">
                  <c:v>46.757558695972001</c:v>
                </c:pt>
                <c:pt idx="5">
                  <c:v>49.904619175940802</c:v>
                </c:pt>
                <c:pt idx="6">
                  <c:v>50.365691408514998</c:v>
                </c:pt>
                <c:pt idx="7">
                  <c:v>51.343814246356501</c:v>
                </c:pt>
                <c:pt idx="8">
                  <c:v>54.546706750989003</c:v>
                </c:pt>
                <c:pt idx="9">
                  <c:v>55.723960474133499</c:v>
                </c:pt>
                <c:pt idx="10">
                  <c:v>65.458560660481496</c:v>
                </c:pt>
                <c:pt idx="11">
                  <c:v>69.1698601841927</c:v>
                </c:pt>
                <c:pt idx="12">
                  <c:v>69.970812387764497</c:v>
                </c:pt>
                <c:pt idx="13">
                  <c:v>73.585398495197296</c:v>
                </c:pt>
                <c:pt idx="14">
                  <c:v>109.63914982974499</c:v>
                </c:pt>
                <c:pt idx="15">
                  <c:v>116.91310454160001</c:v>
                </c:pt>
                <c:pt idx="16">
                  <c:v>124.620018079877</c:v>
                </c:pt>
                <c:pt idx="17">
                  <c:v>130.40715627372299</c:v>
                </c:pt>
                <c:pt idx="18">
                  <c:v>138.47743034362799</c:v>
                </c:pt>
                <c:pt idx="19">
                  <c:v>180.25959156453601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BD7-46D9-B893-FB3F1FA7D2C2}"/>
            </c:ext>
          </c:extLst>
        </c:ser>
        <c:ser>
          <c:idx val="9"/>
          <c:order val="9"/>
          <c:tx>
            <c:strRef>
              <c:f>'Ajustement de GUMBEL'!$BQ$9</c:f>
              <c:strCache>
                <c:ptCount val="1"/>
                <c:pt idx="0">
                  <c:v>r5_obs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'Ajustement de GUMBEL'!$BP$12:$BP$1000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GUMBEL'!$BQ$12:$BQ$1000</c:f>
              <c:numCache>
                <c:formatCode>General</c:formatCode>
                <c:ptCount val="989"/>
                <c:pt idx="0">
                  <c:v>31.750242188572901</c:v>
                </c:pt>
                <c:pt idx="1">
                  <c:v>31.834220811724698</c:v>
                </c:pt>
                <c:pt idx="2">
                  <c:v>42.103695888072302</c:v>
                </c:pt>
                <c:pt idx="3">
                  <c:v>46.860200464725501</c:v>
                </c:pt>
                <c:pt idx="4">
                  <c:v>47.693769671022899</c:v>
                </c:pt>
                <c:pt idx="5">
                  <c:v>48.779421094805002</c:v>
                </c:pt>
                <c:pt idx="6">
                  <c:v>52.934497632086298</c:v>
                </c:pt>
                <c:pt idx="7">
                  <c:v>54.546706750989003</c:v>
                </c:pt>
                <c:pt idx="8">
                  <c:v>60.656312517821803</c:v>
                </c:pt>
                <c:pt idx="9">
                  <c:v>62.855808734893799</c:v>
                </c:pt>
                <c:pt idx="10">
                  <c:v>64.492448419332504</c:v>
                </c:pt>
                <c:pt idx="11">
                  <c:v>64.768307916820007</c:v>
                </c:pt>
                <c:pt idx="12">
                  <c:v>67.8871966525912</c:v>
                </c:pt>
                <c:pt idx="13">
                  <c:v>71.749006323516397</c:v>
                </c:pt>
                <c:pt idx="14">
                  <c:v>74.596848450601101</c:v>
                </c:pt>
                <c:pt idx="15">
                  <c:v>88.316309340298204</c:v>
                </c:pt>
                <c:pt idx="16">
                  <c:v>128.77851895987999</c:v>
                </c:pt>
                <c:pt idx="17">
                  <c:v>130.40715627372299</c:v>
                </c:pt>
                <c:pt idx="18">
                  <c:v>172.71019175648701</c:v>
                </c:pt>
                <c:pt idx="19">
                  <c:v>180.25959156453601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BD7-46D9-B893-FB3F1FA7D2C2}"/>
            </c:ext>
          </c:extLst>
        </c:ser>
        <c:ser>
          <c:idx val="2"/>
          <c:order val="19"/>
          <c:tx>
            <c:strRef>
              <c:f>'Ajustement de GUMBEL'!$AD$9</c:f>
              <c:strCache>
                <c:ptCount val="1"/>
                <c:pt idx="0">
                  <c:v>r2_obs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'Ajustement de GUMBEL'!$AC$12:$AC$1000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GUMBEL'!$AD$12:$AD$1000</c:f>
              <c:numCache>
                <c:formatCode>General</c:formatCode>
                <c:ptCount val="989"/>
                <c:pt idx="0">
                  <c:v>39.533421155065298</c:v>
                </c:pt>
                <c:pt idx="1">
                  <c:v>42.571262251585701</c:v>
                </c:pt>
                <c:pt idx="2">
                  <c:v>42.932034786790602</c:v>
                </c:pt>
                <c:pt idx="3">
                  <c:v>46.322729028761401</c:v>
                </c:pt>
                <c:pt idx="4">
                  <c:v>46.428177561610902</c:v>
                </c:pt>
                <c:pt idx="5">
                  <c:v>46.904319617897301</c:v>
                </c:pt>
                <c:pt idx="6">
                  <c:v>48.409487977623897</c:v>
                </c:pt>
                <c:pt idx="7">
                  <c:v>48.725679181516199</c:v>
                </c:pt>
                <c:pt idx="8">
                  <c:v>53.1774655357003</c:v>
                </c:pt>
                <c:pt idx="9">
                  <c:v>53.3009943366051</c:v>
                </c:pt>
                <c:pt idx="10">
                  <c:v>58.509510643780203</c:v>
                </c:pt>
                <c:pt idx="11">
                  <c:v>60.713037215173301</c:v>
                </c:pt>
                <c:pt idx="12">
                  <c:v>65.493966825306401</c:v>
                </c:pt>
                <c:pt idx="13">
                  <c:v>68.347725234925704</c:v>
                </c:pt>
                <c:pt idx="14">
                  <c:v>75.779616124927998</c:v>
                </c:pt>
                <c:pt idx="15">
                  <c:v>87.193965800106497</c:v>
                </c:pt>
                <c:pt idx="16">
                  <c:v>108.501177728176</c:v>
                </c:pt>
                <c:pt idx="17">
                  <c:v>130.32176345586799</c:v>
                </c:pt>
                <c:pt idx="18">
                  <c:v>130.40715627372299</c:v>
                </c:pt>
                <c:pt idx="19">
                  <c:v>148.15862104296701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BD7-46D9-B893-FB3F1FA7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59640"/>
        <c:axId val="284063168"/>
        <c:extLst/>
      </c:scatterChart>
      <c:scatterChart>
        <c:scatterStyle val="smoothMarker"/>
        <c:varyColors val="0"/>
        <c:ser>
          <c:idx val="14"/>
          <c:order val="0"/>
          <c:tx>
            <c:strRef>
              <c:f>'Ajustement de GUMBEL'!$Q$9</c:f>
              <c:strCache>
                <c:ptCount val="1"/>
                <c:pt idx="0">
                  <c:v>r10_obs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'Ajustement de GUMBEL'!$P$12:$P$1000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GUMBEL'!$Q$12:$Q$1000</c:f>
              <c:numCache>
                <c:formatCode>General</c:formatCode>
                <c:ptCount val="989"/>
                <c:pt idx="0">
                  <c:v>31.716583650559201</c:v>
                </c:pt>
                <c:pt idx="1">
                  <c:v>42.476168721914298</c:v>
                </c:pt>
                <c:pt idx="2">
                  <c:v>44.5421834662557</c:v>
                </c:pt>
                <c:pt idx="3">
                  <c:v>45.203562900423996</c:v>
                </c:pt>
                <c:pt idx="4">
                  <c:v>45.677841156721101</c:v>
                </c:pt>
                <c:pt idx="5">
                  <c:v>47.693769671022899</c:v>
                </c:pt>
                <c:pt idx="6">
                  <c:v>50.334665626287503</c:v>
                </c:pt>
                <c:pt idx="7">
                  <c:v>53.529602028429501</c:v>
                </c:pt>
                <c:pt idx="8">
                  <c:v>53.9384481310844</c:v>
                </c:pt>
                <c:pt idx="9">
                  <c:v>55.149308592081098</c:v>
                </c:pt>
                <c:pt idx="10">
                  <c:v>58.1866316869855</c:v>
                </c:pt>
                <c:pt idx="11">
                  <c:v>58.467666171491203</c:v>
                </c:pt>
                <c:pt idx="12">
                  <c:v>61.421307362616098</c:v>
                </c:pt>
                <c:pt idx="13">
                  <c:v>71.707472652196898</c:v>
                </c:pt>
                <c:pt idx="14">
                  <c:v>81.782528646290302</c:v>
                </c:pt>
                <c:pt idx="15">
                  <c:v>84.521324895322294</c:v>
                </c:pt>
                <c:pt idx="16">
                  <c:v>130.14036029577301</c:v>
                </c:pt>
                <c:pt idx="17">
                  <c:v>130.40715627372299</c:v>
                </c:pt>
                <c:pt idx="18">
                  <c:v>158.386771157384</c:v>
                </c:pt>
                <c:pt idx="19">
                  <c:v>180.25959156453601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538-42FB-B721-B1D03D4D725F}"/>
            </c:ext>
          </c:extLst>
        </c:ser>
        <c:ser>
          <c:idx val="1"/>
          <c:order val="2"/>
          <c:tx>
            <c:strRef>
              <c:f>'Ajustement de GUMBEL'!$E$9</c:f>
              <c:strCache>
                <c:ptCount val="1"/>
                <c:pt idx="0">
                  <c:v>r1_ajust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'Ajustement de GUMBEL'!$C$12:$C$1000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GUMBEL'!$E$12:$E$1000</c:f>
              <c:numCache>
                <c:formatCode>0</c:formatCode>
                <c:ptCount val="989"/>
                <c:pt idx="0">
                  <c:v>21.47887281051305</c:v>
                </c:pt>
                <c:pt idx="1">
                  <c:v>30.107011885926354</c:v>
                </c:pt>
                <c:pt idx="2">
                  <c:v>35.467522407466703</c:v>
                </c:pt>
                <c:pt idx="3">
                  <c:v>39.774962814989124</c:v>
                </c:pt>
                <c:pt idx="4">
                  <c:v>43.574683403695907</c:v>
                </c:pt>
                <c:pt idx="5">
                  <c:v>47.100531059133445</c:v>
                </c:pt>
                <c:pt idx="6">
                  <c:v>50.482202916968241</c:v>
                </c:pt>
                <c:pt idx="7">
                  <c:v>53.805676012748144</c:v>
                </c:pt>
                <c:pt idx="8">
                  <c:v>57.13719499138373</c:v>
                </c:pt>
                <c:pt idx="9">
                  <c:v>60.535315899193442</c:v>
                </c:pt>
                <c:pt idx="10">
                  <c:v>64.058690252492866</c:v>
                </c:pt>
                <c:pt idx="11">
                  <c:v>67.772865799759202</c:v>
                </c:pt>
                <c:pt idx="12">
                  <c:v>71.758296417664098</c:v>
                </c:pt>
                <c:pt idx="13">
                  <c:v>76.122187746134742</c:v>
                </c:pt>
                <c:pt idx="14">
                  <c:v>81.01900031597728</c:v>
                </c:pt>
                <c:pt idx="15">
                  <c:v>86.690778682354477</c:v>
                </c:pt>
                <c:pt idx="16">
                  <c:v>93.558175559631479</c:v>
                </c:pt>
                <c:pt idx="17">
                  <c:v>102.46773860002935</c:v>
                </c:pt>
                <c:pt idx="18">
                  <c:v>115.59976674374519</c:v>
                </c:pt>
                <c:pt idx="19">
                  <c:v>143.04655559327824</c:v>
                </c:pt>
                <c:pt idx="20">
                  <c:v>53.333300418081251</c:v>
                </c:pt>
                <c:pt idx="21">
                  <c:v>53.333300418081251</c:v>
                </c:pt>
                <c:pt idx="22">
                  <c:v>53.333300418081251</c:v>
                </c:pt>
                <c:pt idx="23">
                  <c:v>53.333300418081251</c:v>
                </c:pt>
                <c:pt idx="24">
                  <c:v>53.333300418081251</c:v>
                </c:pt>
                <c:pt idx="25">
                  <c:v>53.333300418081251</c:v>
                </c:pt>
                <c:pt idx="26">
                  <c:v>53.333300418081251</c:v>
                </c:pt>
                <c:pt idx="27">
                  <c:v>53.333300418081251</c:v>
                </c:pt>
                <c:pt idx="28">
                  <c:v>53.333300418081251</c:v>
                </c:pt>
                <c:pt idx="29">
                  <c:v>53.333300418081251</c:v>
                </c:pt>
                <c:pt idx="30">
                  <c:v>53.333300418081251</c:v>
                </c:pt>
                <c:pt idx="31">
                  <c:v>53.333300418081251</c:v>
                </c:pt>
                <c:pt idx="32">
                  <c:v>53.333300418081251</c:v>
                </c:pt>
                <c:pt idx="33">
                  <c:v>53.333300418081251</c:v>
                </c:pt>
                <c:pt idx="34">
                  <c:v>53.333300418081251</c:v>
                </c:pt>
                <c:pt idx="35">
                  <c:v>53.333300418081251</c:v>
                </c:pt>
                <c:pt idx="36">
                  <c:v>53.333300418081251</c:v>
                </c:pt>
                <c:pt idx="37">
                  <c:v>53.333300418081251</c:v>
                </c:pt>
                <c:pt idx="38">
                  <c:v>53.333300418081251</c:v>
                </c:pt>
                <c:pt idx="39">
                  <c:v>53.333300418081251</c:v>
                </c:pt>
                <c:pt idx="40">
                  <c:v>53.333300418081251</c:v>
                </c:pt>
                <c:pt idx="41">
                  <c:v>53.333300418081251</c:v>
                </c:pt>
                <c:pt idx="42">
                  <c:v>53.333300418081251</c:v>
                </c:pt>
                <c:pt idx="43">
                  <c:v>53.333300418081251</c:v>
                </c:pt>
                <c:pt idx="44">
                  <c:v>53.333300418081251</c:v>
                </c:pt>
                <c:pt idx="45">
                  <c:v>53.333300418081251</c:v>
                </c:pt>
                <c:pt idx="46">
                  <c:v>53.333300418081251</c:v>
                </c:pt>
                <c:pt idx="47">
                  <c:v>53.333300418081251</c:v>
                </c:pt>
                <c:pt idx="48">
                  <c:v>53.333300418081251</c:v>
                </c:pt>
                <c:pt idx="49">
                  <c:v>53.333300418081251</c:v>
                </c:pt>
                <c:pt idx="50">
                  <c:v>53.333300418081251</c:v>
                </c:pt>
                <c:pt idx="51">
                  <c:v>53.333300418081251</c:v>
                </c:pt>
                <c:pt idx="52">
                  <c:v>53.333300418081251</c:v>
                </c:pt>
                <c:pt idx="53">
                  <c:v>53.333300418081251</c:v>
                </c:pt>
                <c:pt idx="54">
                  <c:v>53.333300418081251</c:v>
                </c:pt>
                <c:pt idx="55">
                  <c:v>53.333300418081251</c:v>
                </c:pt>
                <c:pt idx="56">
                  <c:v>53.333300418081251</c:v>
                </c:pt>
                <c:pt idx="57">
                  <c:v>53.333300418081251</c:v>
                </c:pt>
                <c:pt idx="58">
                  <c:v>53.333300418081251</c:v>
                </c:pt>
                <c:pt idx="59">
                  <c:v>53.333300418081251</c:v>
                </c:pt>
                <c:pt idx="60">
                  <c:v>53.333300418081251</c:v>
                </c:pt>
                <c:pt idx="61">
                  <c:v>53.333300418081251</c:v>
                </c:pt>
                <c:pt idx="62">
                  <c:v>53.333300418081251</c:v>
                </c:pt>
                <c:pt idx="63">
                  <c:v>53.333300418081251</c:v>
                </c:pt>
                <c:pt idx="64">
                  <c:v>53.333300418081251</c:v>
                </c:pt>
                <c:pt idx="65">
                  <c:v>53.333300418081251</c:v>
                </c:pt>
                <c:pt idx="66">
                  <c:v>53.333300418081251</c:v>
                </c:pt>
                <c:pt idx="67">
                  <c:v>53.333300418081251</c:v>
                </c:pt>
                <c:pt idx="68">
                  <c:v>53.333300418081251</c:v>
                </c:pt>
                <c:pt idx="69">
                  <c:v>53.333300418081251</c:v>
                </c:pt>
                <c:pt idx="70">
                  <c:v>53.333300418081251</c:v>
                </c:pt>
                <c:pt idx="71">
                  <c:v>53.333300418081251</c:v>
                </c:pt>
                <c:pt idx="72">
                  <c:v>53.333300418081251</c:v>
                </c:pt>
                <c:pt idx="73">
                  <c:v>53.333300418081251</c:v>
                </c:pt>
                <c:pt idx="74">
                  <c:v>53.333300418081251</c:v>
                </c:pt>
                <c:pt idx="75">
                  <c:v>53.333300418081251</c:v>
                </c:pt>
                <c:pt idx="76">
                  <c:v>53.333300418081251</c:v>
                </c:pt>
                <c:pt idx="77">
                  <c:v>53.333300418081251</c:v>
                </c:pt>
                <c:pt idx="78">
                  <c:v>53.333300418081251</c:v>
                </c:pt>
                <c:pt idx="79">
                  <c:v>53.333300418081251</c:v>
                </c:pt>
                <c:pt idx="80">
                  <c:v>53.333300418081251</c:v>
                </c:pt>
                <c:pt idx="81">
                  <c:v>53.333300418081251</c:v>
                </c:pt>
                <c:pt idx="82">
                  <c:v>53.333300418081251</c:v>
                </c:pt>
                <c:pt idx="83">
                  <c:v>53.333300418081251</c:v>
                </c:pt>
                <c:pt idx="84">
                  <c:v>53.333300418081251</c:v>
                </c:pt>
                <c:pt idx="85">
                  <c:v>53.333300418081251</c:v>
                </c:pt>
                <c:pt idx="86">
                  <c:v>53.333300418081251</c:v>
                </c:pt>
                <c:pt idx="87">
                  <c:v>53.333300418081251</c:v>
                </c:pt>
                <c:pt idx="88">
                  <c:v>53.333300418081251</c:v>
                </c:pt>
                <c:pt idx="89">
                  <c:v>53.333300418081251</c:v>
                </c:pt>
                <c:pt idx="90">
                  <c:v>53.333300418081251</c:v>
                </c:pt>
                <c:pt idx="91">
                  <c:v>53.333300418081251</c:v>
                </c:pt>
                <c:pt idx="92">
                  <c:v>53.333300418081251</c:v>
                </c:pt>
                <c:pt idx="93">
                  <c:v>53.333300418081251</c:v>
                </c:pt>
                <c:pt idx="94">
                  <c:v>53.333300418081251</c:v>
                </c:pt>
                <c:pt idx="95">
                  <c:v>53.333300418081251</c:v>
                </c:pt>
                <c:pt idx="96">
                  <c:v>53.333300418081251</c:v>
                </c:pt>
                <c:pt idx="97">
                  <c:v>53.333300418081251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BD7-46D9-B893-FB3F1FA7D2C2}"/>
            </c:ext>
          </c:extLst>
        </c:ser>
        <c:ser>
          <c:idx val="15"/>
          <c:order val="3"/>
          <c:tx>
            <c:strRef>
              <c:f>'Ajustement de GUMBEL'!$R$9</c:f>
              <c:strCache>
                <c:ptCount val="1"/>
                <c:pt idx="0">
                  <c:v>r10_ajust</c:v>
                </c:pt>
              </c:strCache>
            </c:strRef>
          </c:tx>
          <c:spPr>
            <a:ln w="19050" cap="rnd">
              <a:solidFill>
                <a:srgbClr val="FFC000">
                  <a:alpha val="99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'Ajustement de GUMBEL'!$P$12:$P$1000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GUMBEL'!$R$12:$R$1000</c:f>
              <c:numCache>
                <c:formatCode>0</c:formatCode>
                <c:ptCount val="989"/>
                <c:pt idx="0">
                  <c:v>12.846627327253231</c:v>
                </c:pt>
                <c:pt idx="1">
                  <c:v>24.383964404117389</c:v>
                </c:pt>
                <c:pt idx="2">
                  <c:v>31.551908296830479</c:v>
                </c:pt>
                <c:pt idx="3">
                  <c:v>37.311712524106525</c:v>
                </c:pt>
                <c:pt idx="4">
                  <c:v>42.392606196153757</c:v>
                </c:pt>
                <c:pt idx="5">
                  <c:v>47.107283663323059</c:v>
                </c:pt>
                <c:pt idx="6">
                  <c:v>51.629172771295806</c:v>
                </c:pt>
                <c:pt idx="7">
                  <c:v>56.073239914483956</c:v>
                </c:pt>
                <c:pt idx="8">
                  <c:v>60.528065815936841</c:v>
                </c:pt>
                <c:pt idx="9">
                  <c:v>65.071950192239882</c:v>
                </c:pt>
                <c:pt idx="10">
                  <c:v>69.783320420129556</c:v>
                </c:pt>
                <c:pt idx="11">
                  <c:v>74.749825349746203</c:v>
                </c:pt>
                <c:pt idx="12">
                  <c:v>80.079045942197197</c:v>
                </c:pt>
                <c:pt idx="13">
                  <c:v>85.914334963770898</c:v>
                </c:pt>
                <c:pt idx="14">
                  <c:v>92.462233267993895</c:v>
                </c:pt>
                <c:pt idx="15">
                  <c:v>100.04639692903514</c:v>
                </c:pt>
                <c:pt idx="16">
                  <c:v>109.2293124941686</c:v>
                </c:pt>
                <c:pt idx="17">
                  <c:v>121.14296283130307</c:v>
                </c:pt>
                <c:pt idx="18">
                  <c:v>138.70279049201551</c:v>
                </c:pt>
                <c:pt idx="19">
                  <c:v>175.40396694116896</c:v>
                </c:pt>
                <c:pt idx="20">
                  <c:v>55.441590793518081</c:v>
                </c:pt>
                <c:pt idx="21">
                  <c:v>55.441590793518081</c:v>
                </c:pt>
                <c:pt idx="22">
                  <c:v>55.441590793518081</c:v>
                </c:pt>
                <c:pt idx="23">
                  <c:v>55.441590793518081</c:v>
                </c:pt>
                <c:pt idx="24">
                  <c:v>55.441590793518081</c:v>
                </c:pt>
                <c:pt idx="25">
                  <c:v>55.441590793518081</c:v>
                </c:pt>
                <c:pt idx="26">
                  <c:v>55.441590793518081</c:v>
                </c:pt>
                <c:pt idx="27">
                  <c:v>55.441590793518081</c:v>
                </c:pt>
                <c:pt idx="28">
                  <c:v>55.441590793518081</c:v>
                </c:pt>
                <c:pt idx="29">
                  <c:v>55.441590793518081</c:v>
                </c:pt>
                <c:pt idx="30">
                  <c:v>55.441590793518081</c:v>
                </c:pt>
                <c:pt idx="31">
                  <c:v>55.441590793518081</c:v>
                </c:pt>
                <c:pt idx="32">
                  <c:v>55.441590793518081</c:v>
                </c:pt>
                <c:pt idx="33">
                  <c:v>55.441590793518081</c:v>
                </c:pt>
                <c:pt idx="34">
                  <c:v>55.441590793518081</c:v>
                </c:pt>
                <c:pt idx="35">
                  <c:v>55.441590793518081</c:v>
                </c:pt>
                <c:pt idx="36">
                  <c:v>55.441590793518081</c:v>
                </c:pt>
                <c:pt idx="37">
                  <c:v>55.441590793518081</c:v>
                </c:pt>
                <c:pt idx="38">
                  <c:v>55.441590793518081</c:v>
                </c:pt>
                <c:pt idx="39">
                  <c:v>55.441590793518081</c:v>
                </c:pt>
                <c:pt idx="40">
                  <c:v>55.441590793518081</c:v>
                </c:pt>
                <c:pt idx="41">
                  <c:v>55.441590793518081</c:v>
                </c:pt>
                <c:pt idx="42">
                  <c:v>55.441590793518081</c:v>
                </c:pt>
                <c:pt idx="43">
                  <c:v>55.441590793518081</c:v>
                </c:pt>
                <c:pt idx="44">
                  <c:v>55.441590793518081</c:v>
                </c:pt>
                <c:pt idx="45">
                  <c:v>55.441590793518081</c:v>
                </c:pt>
                <c:pt idx="46">
                  <c:v>55.441590793518081</c:v>
                </c:pt>
                <c:pt idx="47">
                  <c:v>55.441590793518081</c:v>
                </c:pt>
                <c:pt idx="48">
                  <c:v>55.441590793518081</c:v>
                </c:pt>
                <c:pt idx="49">
                  <c:v>55.441590793518081</c:v>
                </c:pt>
                <c:pt idx="50">
                  <c:v>55.441590793518081</c:v>
                </c:pt>
                <c:pt idx="51">
                  <c:v>55.441590793518081</c:v>
                </c:pt>
                <c:pt idx="52">
                  <c:v>55.441590793518081</c:v>
                </c:pt>
                <c:pt idx="53">
                  <c:v>55.441590793518081</c:v>
                </c:pt>
                <c:pt idx="54">
                  <c:v>55.441590793518081</c:v>
                </c:pt>
                <c:pt idx="55">
                  <c:v>55.441590793518081</c:v>
                </c:pt>
                <c:pt idx="56">
                  <c:v>55.441590793518081</c:v>
                </c:pt>
                <c:pt idx="57">
                  <c:v>55.441590793518081</c:v>
                </c:pt>
                <c:pt idx="58">
                  <c:v>55.441590793518081</c:v>
                </c:pt>
                <c:pt idx="59">
                  <c:v>55.441590793518081</c:v>
                </c:pt>
                <c:pt idx="60">
                  <c:v>55.441590793518081</c:v>
                </c:pt>
                <c:pt idx="61">
                  <c:v>55.441590793518081</c:v>
                </c:pt>
                <c:pt idx="62">
                  <c:v>55.441590793518081</c:v>
                </c:pt>
                <c:pt idx="63">
                  <c:v>55.441590793518081</c:v>
                </c:pt>
                <c:pt idx="64">
                  <c:v>55.441590793518081</c:v>
                </c:pt>
                <c:pt idx="65">
                  <c:v>55.441590793518081</c:v>
                </c:pt>
                <c:pt idx="66">
                  <c:v>55.441590793518081</c:v>
                </c:pt>
                <c:pt idx="67">
                  <c:v>55.441590793518081</c:v>
                </c:pt>
                <c:pt idx="68">
                  <c:v>55.441590793518081</c:v>
                </c:pt>
                <c:pt idx="69">
                  <c:v>55.441590793518081</c:v>
                </c:pt>
                <c:pt idx="70">
                  <c:v>55.441590793518081</c:v>
                </c:pt>
                <c:pt idx="71">
                  <c:v>55.441590793518081</c:v>
                </c:pt>
                <c:pt idx="72">
                  <c:v>55.441590793518081</c:v>
                </c:pt>
                <c:pt idx="73">
                  <c:v>55.441590793518081</c:v>
                </c:pt>
                <c:pt idx="74">
                  <c:v>55.441590793518081</c:v>
                </c:pt>
                <c:pt idx="75">
                  <c:v>55.441590793518081</c:v>
                </c:pt>
                <c:pt idx="76">
                  <c:v>55.441590793518081</c:v>
                </c:pt>
                <c:pt idx="77">
                  <c:v>55.441590793518081</c:v>
                </c:pt>
                <c:pt idx="78">
                  <c:v>55.441590793518081</c:v>
                </c:pt>
                <c:pt idx="79">
                  <c:v>55.441590793518081</c:v>
                </c:pt>
                <c:pt idx="80">
                  <c:v>55.441590793518081</c:v>
                </c:pt>
                <c:pt idx="81">
                  <c:v>55.441590793518081</c:v>
                </c:pt>
                <c:pt idx="82">
                  <c:v>55.441590793518081</c:v>
                </c:pt>
                <c:pt idx="83">
                  <c:v>55.441590793518081</c:v>
                </c:pt>
                <c:pt idx="84">
                  <c:v>55.441590793518081</c:v>
                </c:pt>
                <c:pt idx="85">
                  <c:v>55.441590793518081</c:v>
                </c:pt>
                <c:pt idx="86">
                  <c:v>55.441590793518081</c:v>
                </c:pt>
                <c:pt idx="87">
                  <c:v>55.441590793518081</c:v>
                </c:pt>
                <c:pt idx="88">
                  <c:v>55.441590793518081</c:v>
                </c:pt>
                <c:pt idx="89">
                  <c:v>55.441590793518081</c:v>
                </c:pt>
                <c:pt idx="90">
                  <c:v>55.441590793518081</c:v>
                </c:pt>
                <c:pt idx="91">
                  <c:v>55.441590793518081</c:v>
                </c:pt>
                <c:pt idx="92">
                  <c:v>55.441590793518081</c:v>
                </c:pt>
                <c:pt idx="93">
                  <c:v>55.441590793518081</c:v>
                </c:pt>
                <c:pt idx="94">
                  <c:v>55.441590793518081</c:v>
                </c:pt>
                <c:pt idx="95">
                  <c:v>55.441590793518081</c:v>
                </c:pt>
                <c:pt idx="96">
                  <c:v>55.441590793518081</c:v>
                </c:pt>
                <c:pt idx="97">
                  <c:v>55.441590793518081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538-42FB-B721-B1D03D4D725F}"/>
            </c:ext>
          </c:extLst>
        </c:ser>
        <c:ser>
          <c:idx val="3"/>
          <c:order val="4"/>
          <c:tx>
            <c:strRef>
              <c:f>'Ajustement de GUMBEL'!$AE$9</c:f>
              <c:strCache>
                <c:ptCount val="1"/>
                <c:pt idx="0">
                  <c:v>r2_ajust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'Ajustement de GUMBEL'!$AC$12:$AC$1000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GUMBEL'!$AE$12:$AE$1000</c:f>
              <c:numCache>
                <c:formatCode>0</c:formatCode>
                <c:ptCount val="989"/>
                <c:pt idx="0">
                  <c:v>21.297239416291767</c:v>
                </c:pt>
                <c:pt idx="1">
                  <c:v>30.460426772800187</c:v>
                </c:pt>
                <c:pt idx="2">
                  <c:v>36.153353347822502</c:v>
                </c:pt>
                <c:pt idx="3">
                  <c:v>40.727906810178723</c:v>
                </c:pt>
                <c:pt idx="4">
                  <c:v>44.763255725209383</c:v>
                </c:pt>
                <c:pt idx="5">
                  <c:v>48.507748294800052</c:v>
                </c:pt>
                <c:pt idx="6">
                  <c:v>52.099124435209312</c:v>
                </c:pt>
                <c:pt idx="7">
                  <c:v>55.628692791116649</c:v>
                </c:pt>
                <c:pt idx="8">
                  <c:v>59.166805971279899</c:v>
                </c:pt>
                <c:pt idx="9">
                  <c:v>62.775651200381319</c:v>
                </c:pt>
                <c:pt idx="10">
                  <c:v>66.517517093387085</c:v>
                </c:pt>
                <c:pt idx="11">
                  <c:v>70.462016146670294</c:v>
                </c:pt>
                <c:pt idx="12">
                  <c:v>74.694591343828705</c:v>
                </c:pt>
                <c:pt idx="13">
                  <c:v>79.32909636243302</c:v>
                </c:pt>
                <c:pt idx="14">
                  <c:v>84.529570141887405</c:v>
                </c:pt>
                <c:pt idx="15">
                  <c:v>90.553066907696774</c:v>
                </c:pt>
                <c:pt idx="16">
                  <c:v>97.846324896236524</c:v>
                </c:pt>
                <c:pt idx="17">
                  <c:v>107.30838788458463</c:v>
                </c:pt>
                <c:pt idx="18">
                  <c:v>121.25475954133098</c:v>
                </c:pt>
                <c:pt idx="19">
                  <c:v>150.40357904511836</c:v>
                </c:pt>
                <c:pt idx="20">
                  <c:v>55.127024234462382</c:v>
                </c:pt>
                <c:pt idx="21">
                  <c:v>55.127024234462382</c:v>
                </c:pt>
                <c:pt idx="22">
                  <c:v>55.127024234462382</c:v>
                </c:pt>
                <c:pt idx="23">
                  <c:v>55.127024234462382</c:v>
                </c:pt>
                <c:pt idx="24">
                  <c:v>55.127024234462382</c:v>
                </c:pt>
                <c:pt idx="25">
                  <c:v>55.127024234462382</c:v>
                </c:pt>
                <c:pt idx="26">
                  <c:v>55.127024234462382</c:v>
                </c:pt>
                <c:pt idx="27">
                  <c:v>55.127024234462382</c:v>
                </c:pt>
                <c:pt idx="28">
                  <c:v>55.127024234462382</c:v>
                </c:pt>
                <c:pt idx="29">
                  <c:v>55.127024234462382</c:v>
                </c:pt>
                <c:pt idx="30">
                  <c:v>55.127024234462382</c:v>
                </c:pt>
                <c:pt idx="31">
                  <c:v>55.127024234462382</c:v>
                </c:pt>
                <c:pt idx="32">
                  <c:v>55.127024234462382</c:v>
                </c:pt>
                <c:pt idx="33">
                  <c:v>55.127024234462382</c:v>
                </c:pt>
                <c:pt idx="34">
                  <c:v>55.127024234462382</c:v>
                </c:pt>
                <c:pt idx="35">
                  <c:v>55.127024234462382</c:v>
                </c:pt>
                <c:pt idx="36">
                  <c:v>55.127024234462382</c:v>
                </c:pt>
                <c:pt idx="37">
                  <c:v>55.127024234462382</c:v>
                </c:pt>
                <c:pt idx="38">
                  <c:v>55.127024234462382</c:v>
                </c:pt>
                <c:pt idx="39">
                  <c:v>55.127024234462382</c:v>
                </c:pt>
                <c:pt idx="40">
                  <c:v>55.127024234462382</c:v>
                </c:pt>
                <c:pt idx="41">
                  <c:v>55.127024234462382</c:v>
                </c:pt>
                <c:pt idx="42">
                  <c:v>55.127024234462382</c:v>
                </c:pt>
                <c:pt idx="43">
                  <c:v>55.127024234462382</c:v>
                </c:pt>
                <c:pt idx="44">
                  <c:v>55.127024234462382</c:v>
                </c:pt>
                <c:pt idx="45">
                  <c:v>55.127024234462382</c:v>
                </c:pt>
                <c:pt idx="46">
                  <c:v>55.127024234462382</c:v>
                </c:pt>
                <c:pt idx="47">
                  <c:v>55.127024234462382</c:v>
                </c:pt>
                <c:pt idx="48">
                  <c:v>55.127024234462382</c:v>
                </c:pt>
                <c:pt idx="49">
                  <c:v>55.127024234462382</c:v>
                </c:pt>
                <c:pt idx="50">
                  <c:v>55.127024234462382</c:v>
                </c:pt>
                <c:pt idx="51">
                  <c:v>55.127024234462382</c:v>
                </c:pt>
                <c:pt idx="52">
                  <c:v>55.127024234462382</c:v>
                </c:pt>
                <c:pt idx="53">
                  <c:v>55.127024234462382</c:v>
                </c:pt>
                <c:pt idx="54">
                  <c:v>55.127024234462382</c:v>
                </c:pt>
                <c:pt idx="55">
                  <c:v>55.127024234462382</c:v>
                </c:pt>
                <c:pt idx="56">
                  <c:v>55.127024234462382</c:v>
                </c:pt>
                <c:pt idx="57">
                  <c:v>55.127024234462382</c:v>
                </c:pt>
                <c:pt idx="58">
                  <c:v>55.127024234462382</c:v>
                </c:pt>
                <c:pt idx="59">
                  <c:v>55.127024234462382</c:v>
                </c:pt>
                <c:pt idx="60">
                  <c:v>55.127024234462382</c:v>
                </c:pt>
                <c:pt idx="61">
                  <c:v>55.127024234462382</c:v>
                </c:pt>
                <c:pt idx="62">
                  <c:v>55.127024234462382</c:v>
                </c:pt>
                <c:pt idx="63">
                  <c:v>55.127024234462382</c:v>
                </c:pt>
                <c:pt idx="64">
                  <c:v>55.127024234462382</c:v>
                </c:pt>
                <c:pt idx="65">
                  <c:v>55.127024234462382</c:v>
                </c:pt>
                <c:pt idx="66">
                  <c:v>55.127024234462382</c:v>
                </c:pt>
                <c:pt idx="67">
                  <c:v>55.127024234462382</c:v>
                </c:pt>
                <c:pt idx="68">
                  <c:v>55.127024234462382</c:v>
                </c:pt>
                <c:pt idx="69">
                  <c:v>55.127024234462382</c:v>
                </c:pt>
                <c:pt idx="70">
                  <c:v>55.127024234462382</c:v>
                </c:pt>
                <c:pt idx="71">
                  <c:v>55.127024234462382</c:v>
                </c:pt>
                <c:pt idx="72">
                  <c:v>55.127024234462382</c:v>
                </c:pt>
                <c:pt idx="73">
                  <c:v>55.127024234462382</c:v>
                </c:pt>
                <c:pt idx="74">
                  <c:v>55.127024234462382</c:v>
                </c:pt>
                <c:pt idx="75">
                  <c:v>55.127024234462382</c:v>
                </c:pt>
                <c:pt idx="76">
                  <c:v>55.127024234462382</c:v>
                </c:pt>
                <c:pt idx="77">
                  <c:v>55.127024234462382</c:v>
                </c:pt>
                <c:pt idx="78">
                  <c:v>55.127024234462382</c:v>
                </c:pt>
                <c:pt idx="79">
                  <c:v>55.127024234462382</c:v>
                </c:pt>
                <c:pt idx="80">
                  <c:v>55.127024234462382</c:v>
                </c:pt>
                <c:pt idx="81">
                  <c:v>55.127024234462382</c:v>
                </c:pt>
                <c:pt idx="82">
                  <c:v>55.127024234462382</c:v>
                </c:pt>
                <c:pt idx="83">
                  <c:v>55.127024234462382</c:v>
                </c:pt>
                <c:pt idx="84">
                  <c:v>55.127024234462382</c:v>
                </c:pt>
                <c:pt idx="85">
                  <c:v>55.127024234462382</c:v>
                </c:pt>
                <c:pt idx="86">
                  <c:v>55.127024234462382</c:v>
                </c:pt>
                <c:pt idx="87">
                  <c:v>55.127024234462382</c:v>
                </c:pt>
                <c:pt idx="88">
                  <c:v>55.127024234462382</c:v>
                </c:pt>
                <c:pt idx="89">
                  <c:v>55.127024234462382</c:v>
                </c:pt>
                <c:pt idx="90">
                  <c:v>55.127024234462382</c:v>
                </c:pt>
                <c:pt idx="91">
                  <c:v>55.127024234462382</c:v>
                </c:pt>
                <c:pt idx="92">
                  <c:v>55.127024234462382</c:v>
                </c:pt>
                <c:pt idx="93">
                  <c:v>55.127024234462382</c:v>
                </c:pt>
                <c:pt idx="94">
                  <c:v>55.127024234462382</c:v>
                </c:pt>
                <c:pt idx="95">
                  <c:v>55.127024234462382</c:v>
                </c:pt>
                <c:pt idx="96">
                  <c:v>55.127024234462382</c:v>
                </c:pt>
                <c:pt idx="97">
                  <c:v>55.127024234462382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EBD7-46D9-B893-FB3F1FA7D2C2}"/>
            </c:ext>
          </c:extLst>
        </c:ser>
        <c:ser>
          <c:idx val="4"/>
          <c:order val="6"/>
          <c:tx>
            <c:strRef>
              <c:f>'Ajustement de GUMBEL'!$AR$9</c:f>
              <c:strCache>
                <c:ptCount val="1"/>
                <c:pt idx="0">
                  <c:v>r3_ajust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'Ajustement de GUMBEL'!$AP$12:$AP$1000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GUMBEL'!$AR$12:$AR$1000</c:f>
              <c:numCache>
                <c:formatCode>0</c:formatCode>
                <c:ptCount val="989"/>
                <c:pt idx="0">
                  <c:v>12.347577388591084</c:v>
                </c:pt>
                <c:pt idx="1">
                  <c:v>24.346887240081919</c:v>
                </c:pt>
                <c:pt idx="2">
                  <c:v>31.801846663885392</c:v>
                </c:pt>
                <c:pt idx="3">
                  <c:v>37.792282337781572</c:v>
                </c:pt>
                <c:pt idx="4">
                  <c:v>43.076622830496426</c:v>
                </c:pt>
                <c:pt idx="5">
                  <c:v>47.980083256546735</c:v>
                </c:pt>
                <c:pt idx="6">
                  <c:v>52.683035780093377</c:v>
                </c:pt>
                <c:pt idx="7">
                  <c:v>57.305050227333417</c:v>
                </c:pt>
                <c:pt idx="8">
                  <c:v>61.938254230116101</c:v>
                </c:pt>
                <c:pt idx="9">
                  <c:v>66.664082746467969</c:v>
                </c:pt>
                <c:pt idx="10">
                  <c:v>71.564103506275984</c:v>
                </c:pt>
                <c:pt idx="11">
                  <c:v>76.729474954851582</c:v>
                </c:pt>
                <c:pt idx="12">
                  <c:v>82.27208576094462</c:v>
                </c:pt>
                <c:pt idx="13">
                  <c:v>88.341028756748727</c:v>
                </c:pt>
                <c:pt idx="14">
                  <c:v>95.151115010185833</c:v>
                </c:pt>
                <c:pt idx="15">
                  <c:v>103.03896028392262</c:v>
                </c:pt>
                <c:pt idx="16">
                  <c:v>112.58957395430554</c:v>
                </c:pt>
                <c:pt idx="17">
                  <c:v>124.98026522952742</c:v>
                </c:pt>
                <c:pt idx="18">
                  <c:v>143.24321547843681</c:v>
                </c:pt>
                <c:pt idx="19">
                  <c:v>181.41396364967147</c:v>
                </c:pt>
                <c:pt idx="20">
                  <c:v>56.648108901150771</c:v>
                </c:pt>
                <c:pt idx="21">
                  <c:v>56.648108901150771</c:v>
                </c:pt>
                <c:pt idx="22">
                  <c:v>56.648108901150771</c:v>
                </c:pt>
                <c:pt idx="23">
                  <c:v>56.648108901150771</c:v>
                </c:pt>
                <c:pt idx="24">
                  <c:v>56.648108901150771</c:v>
                </c:pt>
                <c:pt idx="25">
                  <c:v>56.648108901150771</c:v>
                </c:pt>
                <c:pt idx="26">
                  <c:v>56.648108901150771</c:v>
                </c:pt>
                <c:pt idx="27">
                  <c:v>56.648108901150771</c:v>
                </c:pt>
                <c:pt idx="28">
                  <c:v>56.648108901150771</c:v>
                </c:pt>
                <c:pt idx="29">
                  <c:v>56.648108901150771</c:v>
                </c:pt>
                <c:pt idx="30">
                  <c:v>56.648108901150771</c:v>
                </c:pt>
                <c:pt idx="31">
                  <c:v>56.648108901150771</c:v>
                </c:pt>
                <c:pt idx="32">
                  <c:v>56.648108901150771</c:v>
                </c:pt>
                <c:pt idx="33">
                  <c:v>56.648108901150771</c:v>
                </c:pt>
                <c:pt idx="34">
                  <c:v>56.648108901150771</c:v>
                </c:pt>
                <c:pt idx="35">
                  <c:v>56.648108901150771</c:v>
                </c:pt>
                <c:pt idx="36">
                  <c:v>56.648108901150771</c:v>
                </c:pt>
                <c:pt idx="37">
                  <c:v>56.648108901150771</c:v>
                </c:pt>
                <c:pt idx="38">
                  <c:v>56.648108901150771</c:v>
                </c:pt>
                <c:pt idx="39">
                  <c:v>56.648108901150771</c:v>
                </c:pt>
                <c:pt idx="40">
                  <c:v>56.648108901150771</c:v>
                </c:pt>
                <c:pt idx="41">
                  <c:v>56.648108901150771</c:v>
                </c:pt>
                <c:pt idx="42">
                  <c:v>56.648108901150771</c:v>
                </c:pt>
                <c:pt idx="43">
                  <c:v>56.648108901150771</c:v>
                </c:pt>
                <c:pt idx="44">
                  <c:v>56.648108901150771</c:v>
                </c:pt>
                <c:pt idx="45">
                  <c:v>56.648108901150771</c:v>
                </c:pt>
                <c:pt idx="46">
                  <c:v>56.648108901150771</c:v>
                </c:pt>
                <c:pt idx="47">
                  <c:v>56.648108901150771</c:v>
                </c:pt>
                <c:pt idx="48">
                  <c:v>56.648108901150771</c:v>
                </c:pt>
                <c:pt idx="49">
                  <c:v>56.648108901150771</c:v>
                </c:pt>
                <c:pt idx="50">
                  <c:v>56.648108901150771</c:v>
                </c:pt>
                <c:pt idx="51">
                  <c:v>56.648108901150771</c:v>
                </c:pt>
                <c:pt idx="52">
                  <c:v>56.648108901150771</c:v>
                </c:pt>
                <c:pt idx="53">
                  <c:v>56.648108901150771</c:v>
                </c:pt>
                <c:pt idx="54">
                  <c:v>56.648108901150771</c:v>
                </c:pt>
                <c:pt idx="55">
                  <c:v>56.648108901150771</c:v>
                </c:pt>
                <c:pt idx="56">
                  <c:v>56.648108901150771</c:v>
                </c:pt>
                <c:pt idx="57">
                  <c:v>56.648108901150771</c:v>
                </c:pt>
                <c:pt idx="58">
                  <c:v>56.648108901150771</c:v>
                </c:pt>
                <c:pt idx="59">
                  <c:v>56.648108901150771</c:v>
                </c:pt>
                <c:pt idx="60">
                  <c:v>56.648108901150771</c:v>
                </c:pt>
                <c:pt idx="61">
                  <c:v>56.648108901150771</c:v>
                </c:pt>
                <c:pt idx="62">
                  <c:v>56.648108901150771</c:v>
                </c:pt>
                <c:pt idx="63">
                  <c:v>56.648108901150771</c:v>
                </c:pt>
                <c:pt idx="64">
                  <c:v>56.648108901150771</c:v>
                </c:pt>
                <c:pt idx="65">
                  <c:v>56.648108901150771</c:v>
                </c:pt>
                <c:pt idx="66">
                  <c:v>56.648108901150771</c:v>
                </c:pt>
                <c:pt idx="67">
                  <c:v>56.648108901150771</c:v>
                </c:pt>
                <c:pt idx="68">
                  <c:v>56.648108901150771</c:v>
                </c:pt>
                <c:pt idx="69">
                  <c:v>56.648108901150771</c:v>
                </c:pt>
                <c:pt idx="70">
                  <c:v>56.648108901150771</c:v>
                </c:pt>
                <c:pt idx="71">
                  <c:v>56.648108901150771</c:v>
                </c:pt>
                <c:pt idx="72">
                  <c:v>56.648108901150771</c:v>
                </c:pt>
                <c:pt idx="73">
                  <c:v>56.648108901150771</c:v>
                </c:pt>
                <c:pt idx="74">
                  <c:v>56.648108901150771</c:v>
                </c:pt>
                <c:pt idx="75">
                  <c:v>56.648108901150771</c:v>
                </c:pt>
                <c:pt idx="76">
                  <c:v>56.648108901150771</c:v>
                </c:pt>
                <c:pt idx="77">
                  <c:v>56.648108901150771</c:v>
                </c:pt>
                <c:pt idx="78">
                  <c:v>56.648108901150771</c:v>
                </c:pt>
                <c:pt idx="79">
                  <c:v>56.648108901150771</c:v>
                </c:pt>
                <c:pt idx="80">
                  <c:v>56.648108901150771</c:v>
                </c:pt>
                <c:pt idx="81">
                  <c:v>56.648108901150771</c:v>
                </c:pt>
                <c:pt idx="82">
                  <c:v>56.648108901150771</c:v>
                </c:pt>
                <c:pt idx="83">
                  <c:v>56.648108901150771</c:v>
                </c:pt>
                <c:pt idx="84">
                  <c:v>56.648108901150771</c:v>
                </c:pt>
                <c:pt idx="85">
                  <c:v>56.648108901150771</c:v>
                </c:pt>
                <c:pt idx="86">
                  <c:v>56.648108901150771</c:v>
                </c:pt>
                <c:pt idx="87">
                  <c:v>56.648108901150771</c:v>
                </c:pt>
                <c:pt idx="88">
                  <c:v>56.648108901150771</c:v>
                </c:pt>
                <c:pt idx="89">
                  <c:v>56.648108901150771</c:v>
                </c:pt>
                <c:pt idx="90">
                  <c:v>56.648108901150771</c:v>
                </c:pt>
                <c:pt idx="91">
                  <c:v>56.648108901150771</c:v>
                </c:pt>
                <c:pt idx="92">
                  <c:v>56.648108901150771</c:v>
                </c:pt>
                <c:pt idx="93">
                  <c:v>56.648108901150771</c:v>
                </c:pt>
                <c:pt idx="94">
                  <c:v>56.648108901150771</c:v>
                </c:pt>
                <c:pt idx="95">
                  <c:v>56.648108901150771</c:v>
                </c:pt>
                <c:pt idx="96">
                  <c:v>56.648108901150771</c:v>
                </c:pt>
                <c:pt idx="97">
                  <c:v>56.648108901150771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EBD7-46D9-B893-FB3F1FA7D2C2}"/>
            </c:ext>
          </c:extLst>
        </c:ser>
        <c:ser>
          <c:idx val="6"/>
          <c:order val="8"/>
          <c:tx>
            <c:strRef>
              <c:f>'Ajustement de GUMBEL'!$BE$9</c:f>
              <c:strCache>
                <c:ptCount val="1"/>
                <c:pt idx="0">
                  <c:v>r4_ajust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'Ajustement de GUMBEL'!$BC$12:$BC$1000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GUMBEL'!$BE$12:$BE$1000</c:f>
              <c:numCache>
                <c:formatCode>0</c:formatCode>
                <c:ptCount val="989"/>
                <c:pt idx="0">
                  <c:v>17.019455248033104</c:v>
                </c:pt>
                <c:pt idx="1">
                  <c:v>28.342438433627251</c:v>
                </c:pt>
                <c:pt idx="2">
                  <c:v>35.377208037024545</c:v>
                </c:pt>
                <c:pt idx="3">
                  <c:v>41.030000010013083</c:v>
                </c:pt>
                <c:pt idx="4">
                  <c:v>46.016495007350827</c:v>
                </c:pt>
                <c:pt idx="5">
                  <c:v>50.643577784823719</c:v>
                </c:pt>
                <c:pt idx="6">
                  <c:v>55.081454046528059</c:v>
                </c:pt>
                <c:pt idx="7">
                  <c:v>59.442954209236987</c:v>
                </c:pt>
                <c:pt idx="8">
                  <c:v>63.815013241650242</c:v>
                </c:pt>
                <c:pt idx="9">
                  <c:v>68.274476118342704</c:v>
                </c:pt>
                <c:pt idx="10">
                  <c:v>72.898313102223497</c:v>
                </c:pt>
                <c:pt idx="11">
                  <c:v>77.772544602487898</c:v>
                </c:pt>
                <c:pt idx="12">
                  <c:v>83.002752817661744</c:v>
                </c:pt>
                <c:pt idx="13">
                  <c:v>88.729627141794751</c:v>
                </c:pt>
                <c:pt idx="14">
                  <c:v>95.155871075360139</c:v>
                </c:pt>
                <c:pt idx="15">
                  <c:v>102.59912743847448</c:v>
                </c:pt>
                <c:pt idx="16">
                  <c:v>111.61143225769001</c:v>
                </c:pt>
                <c:pt idx="17">
                  <c:v>123.30373712385648</c:v>
                </c:pt>
                <c:pt idx="18">
                  <c:v>140.53731815035621</c:v>
                </c:pt>
                <c:pt idx="19">
                  <c:v>176.55661801623472</c:v>
                </c:pt>
                <c:pt idx="20">
                  <c:v>58.82304059067468</c:v>
                </c:pt>
                <c:pt idx="21">
                  <c:v>58.82304059067468</c:v>
                </c:pt>
                <c:pt idx="22">
                  <c:v>58.82304059067468</c:v>
                </c:pt>
                <c:pt idx="23">
                  <c:v>58.82304059067468</c:v>
                </c:pt>
                <c:pt idx="24">
                  <c:v>58.82304059067468</c:v>
                </c:pt>
                <c:pt idx="25">
                  <c:v>58.82304059067468</c:v>
                </c:pt>
                <c:pt idx="26">
                  <c:v>58.82304059067468</c:v>
                </c:pt>
                <c:pt idx="27">
                  <c:v>58.82304059067468</c:v>
                </c:pt>
                <c:pt idx="28">
                  <c:v>58.82304059067468</c:v>
                </c:pt>
                <c:pt idx="29">
                  <c:v>58.82304059067468</c:v>
                </c:pt>
                <c:pt idx="30">
                  <c:v>58.82304059067468</c:v>
                </c:pt>
                <c:pt idx="31">
                  <c:v>58.82304059067468</c:v>
                </c:pt>
                <c:pt idx="32">
                  <c:v>58.82304059067468</c:v>
                </c:pt>
                <c:pt idx="33">
                  <c:v>58.82304059067468</c:v>
                </c:pt>
                <c:pt idx="34">
                  <c:v>58.82304059067468</c:v>
                </c:pt>
                <c:pt idx="35">
                  <c:v>58.82304059067468</c:v>
                </c:pt>
                <c:pt idx="36">
                  <c:v>58.82304059067468</c:v>
                </c:pt>
                <c:pt idx="37">
                  <c:v>58.82304059067468</c:v>
                </c:pt>
                <c:pt idx="38">
                  <c:v>58.82304059067468</c:v>
                </c:pt>
                <c:pt idx="39">
                  <c:v>58.82304059067468</c:v>
                </c:pt>
                <c:pt idx="40">
                  <c:v>58.82304059067468</c:v>
                </c:pt>
                <c:pt idx="41">
                  <c:v>58.82304059067468</c:v>
                </c:pt>
                <c:pt idx="42">
                  <c:v>58.82304059067468</c:v>
                </c:pt>
                <c:pt idx="43">
                  <c:v>58.82304059067468</c:v>
                </c:pt>
                <c:pt idx="44">
                  <c:v>58.82304059067468</c:v>
                </c:pt>
                <c:pt idx="45">
                  <c:v>58.82304059067468</c:v>
                </c:pt>
                <c:pt idx="46">
                  <c:v>58.82304059067468</c:v>
                </c:pt>
                <c:pt idx="47">
                  <c:v>58.82304059067468</c:v>
                </c:pt>
                <c:pt idx="48">
                  <c:v>58.82304059067468</c:v>
                </c:pt>
                <c:pt idx="49">
                  <c:v>58.82304059067468</c:v>
                </c:pt>
                <c:pt idx="50">
                  <c:v>58.82304059067468</c:v>
                </c:pt>
                <c:pt idx="51">
                  <c:v>58.82304059067468</c:v>
                </c:pt>
                <c:pt idx="52">
                  <c:v>58.82304059067468</c:v>
                </c:pt>
                <c:pt idx="53">
                  <c:v>58.82304059067468</c:v>
                </c:pt>
                <c:pt idx="54">
                  <c:v>58.82304059067468</c:v>
                </c:pt>
                <c:pt idx="55">
                  <c:v>58.82304059067468</c:v>
                </c:pt>
                <c:pt idx="56">
                  <c:v>58.82304059067468</c:v>
                </c:pt>
                <c:pt idx="57">
                  <c:v>58.82304059067468</c:v>
                </c:pt>
                <c:pt idx="58">
                  <c:v>58.82304059067468</c:v>
                </c:pt>
                <c:pt idx="59">
                  <c:v>58.82304059067468</c:v>
                </c:pt>
                <c:pt idx="60">
                  <c:v>58.82304059067468</c:v>
                </c:pt>
                <c:pt idx="61">
                  <c:v>58.82304059067468</c:v>
                </c:pt>
                <c:pt idx="62">
                  <c:v>58.82304059067468</c:v>
                </c:pt>
                <c:pt idx="63">
                  <c:v>58.82304059067468</c:v>
                </c:pt>
                <c:pt idx="64">
                  <c:v>58.82304059067468</c:v>
                </c:pt>
                <c:pt idx="65">
                  <c:v>58.82304059067468</c:v>
                </c:pt>
                <c:pt idx="66">
                  <c:v>58.82304059067468</c:v>
                </c:pt>
                <c:pt idx="67">
                  <c:v>58.82304059067468</c:v>
                </c:pt>
                <c:pt idx="68">
                  <c:v>58.82304059067468</c:v>
                </c:pt>
                <c:pt idx="69">
                  <c:v>58.82304059067468</c:v>
                </c:pt>
                <c:pt idx="70">
                  <c:v>58.82304059067468</c:v>
                </c:pt>
                <c:pt idx="71">
                  <c:v>58.82304059067468</c:v>
                </c:pt>
                <c:pt idx="72">
                  <c:v>58.82304059067468</c:v>
                </c:pt>
                <c:pt idx="73">
                  <c:v>58.82304059067468</c:v>
                </c:pt>
                <c:pt idx="74">
                  <c:v>58.82304059067468</c:v>
                </c:pt>
                <c:pt idx="75">
                  <c:v>58.82304059067468</c:v>
                </c:pt>
                <c:pt idx="76">
                  <c:v>58.82304059067468</c:v>
                </c:pt>
                <c:pt idx="77">
                  <c:v>58.82304059067468</c:v>
                </c:pt>
                <c:pt idx="78">
                  <c:v>58.82304059067468</c:v>
                </c:pt>
                <c:pt idx="79">
                  <c:v>58.82304059067468</c:v>
                </c:pt>
                <c:pt idx="80">
                  <c:v>58.82304059067468</c:v>
                </c:pt>
                <c:pt idx="81">
                  <c:v>58.82304059067468</c:v>
                </c:pt>
                <c:pt idx="82">
                  <c:v>58.82304059067468</c:v>
                </c:pt>
                <c:pt idx="83">
                  <c:v>58.82304059067468</c:v>
                </c:pt>
                <c:pt idx="84">
                  <c:v>58.82304059067468</c:v>
                </c:pt>
                <c:pt idx="85">
                  <c:v>58.82304059067468</c:v>
                </c:pt>
                <c:pt idx="86">
                  <c:v>58.82304059067468</c:v>
                </c:pt>
                <c:pt idx="87">
                  <c:v>58.82304059067468</c:v>
                </c:pt>
                <c:pt idx="88">
                  <c:v>58.82304059067468</c:v>
                </c:pt>
                <c:pt idx="89">
                  <c:v>58.82304059067468</c:v>
                </c:pt>
                <c:pt idx="90">
                  <c:v>58.82304059067468</c:v>
                </c:pt>
                <c:pt idx="91">
                  <c:v>58.82304059067468</c:v>
                </c:pt>
                <c:pt idx="92">
                  <c:v>58.82304059067468</c:v>
                </c:pt>
                <c:pt idx="93">
                  <c:v>58.82304059067468</c:v>
                </c:pt>
                <c:pt idx="94">
                  <c:v>58.82304059067468</c:v>
                </c:pt>
                <c:pt idx="95">
                  <c:v>58.82304059067468</c:v>
                </c:pt>
                <c:pt idx="96">
                  <c:v>58.82304059067468</c:v>
                </c:pt>
                <c:pt idx="97">
                  <c:v>58.82304059067468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EBD7-46D9-B893-FB3F1FA7D2C2}"/>
            </c:ext>
          </c:extLst>
        </c:ser>
        <c:ser>
          <c:idx val="8"/>
          <c:order val="10"/>
          <c:tx>
            <c:strRef>
              <c:f>'Ajustement de GUMBEL'!$BR$9</c:f>
              <c:strCache>
                <c:ptCount val="1"/>
                <c:pt idx="0">
                  <c:v>r5_ajust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'Ajustement de GUMBEL'!$BP$12:$BP$1000</c:f>
              <c:numCache>
                <c:formatCode>0.00</c:formatCode>
                <c:ptCount val="989"/>
                <c:pt idx="0">
                  <c:v>-1.3053227409632366</c:v>
                </c:pt>
                <c:pt idx="1">
                  <c:v>-0.95176102307336075</c:v>
                </c:pt>
                <c:pt idx="2">
                  <c:v>-0.73209936808644527</c:v>
                </c:pt>
                <c:pt idx="3">
                  <c:v>-0.5555901559746852</c:v>
                </c:pt>
                <c:pt idx="4">
                  <c:v>-0.3998861591913061</c:v>
                </c:pt>
                <c:pt idx="5">
                  <c:v>-0.25540485874184954</c:v>
                </c:pt>
                <c:pt idx="6">
                  <c:v>-0.11683155794713029</c:v>
                </c:pt>
                <c:pt idx="7">
                  <c:v>1.9356888580482099E-2</c:v>
                </c:pt>
                <c:pt idx="8">
                  <c:v>0.15587503727672322</c:v>
                </c:pt>
                <c:pt idx="9">
                  <c:v>0.29512238311359518</c:v>
                </c:pt>
                <c:pt idx="10">
                  <c:v>0.43950233320868604</c:v>
                </c:pt>
                <c:pt idx="11">
                  <c:v>0.59170088675056343</c:v>
                </c:pt>
                <c:pt idx="12">
                  <c:v>0.75501486250840832</c:v>
                </c:pt>
                <c:pt idx="13">
                  <c:v>0.9338373062930091</c:v>
                </c:pt>
                <c:pt idx="14">
                  <c:v>1.1344976629754648</c:v>
                </c:pt>
                <c:pt idx="15">
                  <c:v>1.3669143735986529</c:v>
                </c:pt>
                <c:pt idx="16">
                  <c:v>1.6483248395333732</c:v>
                </c:pt>
                <c:pt idx="17">
                  <c:v>2.0134186780399479</c:v>
                </c:pt>
                <c:pt idx="18">
                  <c:v>2.5515396319662687</c:v>
                </c:pt>
                <c:pt idx="19">
                  <c:v>3.6762472579541758</c:v>
                </c:pt>
              </c:numCache>
            </c:numRef>
          </c:xVal>
          <c:yVal>
            <c:numRef>
              <c:f>'Ajustement de GUMBEL'!$BR$12:$BR$1000</c:f>
              <c:numCache>
                <c:formatCode>0</c:formatCode>
                <c:ptCount val="989"/>
                <c:pt idx="0">
                  <c:v>12.919616521899393</c:v>
                </c:pt>
                <c:pt idx="1">
                  <c:v>24.80419504627708</c:v>
                </c:pt>
                <c:pt idx="2">
                  <c:v>32.187873921544558</c:v>
                </c:pt>
                <c:pt idx="3">
                  <c:v>38.121032081703831</c:v>
                </c:pt>
                <c:pt idx="4">
                  <c:v>43.354846385400279</c:v>
                </c:pt>
                <c:pt idx="5">
                  <c:v>48.211422404839688</c:v>
                </c:pt>
                <c:pt idx="6">
                  <c:v>52.869407676848141</c:v>
                </c:pt>
                <c:pt idx="7">
                  <c:v>57.44722876146723</c:v>
                </c:pt>
                <c:pt idx="8">
                  <c:v>62.036132412762697</c:v>
                </c:pt>
                <c:pt idx="9">
                  <c:v>66.716774948912303</c:v>
                </c:pt>
                <c:pt idx="10">
                  <c:v>71.569944190456965</c:v>
                </c:pt>
                <c:pt idx="11">
                  <c:v>76.685926971795695</c:v>
                </c:pt>
                <c:pt idx="12">
                  <c:v>82.175542138862397</c:v>
                </c:pt>
                <c:pt idx="13">
                  <c:v>88.186456973655538</c:v>
                </c:pt>
                <c:pt idx="14">
                  <c:v>94.931428629396464</c:v>
                </c:pt>
                <c:pt idx="15">
                  <c:v>102.74385431921388</c:v>
                </c:pt>
                <c:pt idx="16">
                  <c:v>112.20314985591163</c:v>
                </c:pt>
                <c:pt idx="17">
                  <c:v>124.47536761295206</c:v>
                </c:pt>
                <c:pt idx="18">
                  <c:v>142.56369677573304</c:v>
                </c:pt>
                <c:pt idx="19">
                  <c:v>180.36947557382967</c:v>
                </c:pt>
                <c:pt idx="20">
                  <c:v>56.796568775721767</c:v>
                </c:pt>
                <c:pt idx="21">
                  <c:v>56.796568775721767</c:v>
                </c:pt>
                <c:pt idx="22">
                  <c:v>56.796568775721767</c:v>
                </c:pt>
                <c:pt idx="23">
                  <c:v>56.796568775721767</c:v>
                </c:pt>
                <c:pt idx="24">
                  <c:v>56.796568775721767</c:v>
                </c:pt>
                <c:pt idx="25">
                  <c:v>56.796568775721767</c:v>
                </c:pt>
                <c:pt idx="26">
                  <c:v>56.796568775721767</c:v>
                </c:pt>
                <c:pt idx="27">
                  <c:v>56.796568775721767</c:v>
                </c:pt>
                <c:pt idx="28">
                  <c:v>56.796568775721767</c:v>
                </c:pt>
                <c:pt idx="29">
                  <c:v>56.796568775721767</c:v>
                </c:pt>
                <c:pt idx="30">
                  <c:v>56.796568775721767</c:v>
                </c:pt>
                <c:pt idx="31">
                  <c:v>56.796568775721767</c:v>
                </c:pt>
                <c:pt idx="32">
                  <c:v>56.796568775721767</c:v>
                </c:pt>
                <c:pt idx="33">
                  <c:v>56.796568775721767</c:v>
                </c:pt>
                <c:pt idx="34">
                  <c:v>56.796568775721767</c:v>
                </c:pt>
                <c:pt idx="35">
                  <c:v>56.796568775721767</c:v>
                </c:pt>
                <c:pt idx="36">
                  <c:v>56.796568775721767</c:v>
                </c:pt>
                <c:pt idx="37">
                  <c:v>56.796568775721767</c:v>
                </c:pt>
                <c:pt idx="38">
                  <c:v>56.796568775721767</c:v>
                </c:pt>
                <c:pt idx="39">
                  <c:v>56.796568775721767</c:v>
                </c:pt>
                <c:pt idx="40">
                  <c:v>56.796568775721767</c:v>
                </c:pt>
                <c:pt idx="41">
                  <c:v>56.796568775721767</c:v>
                </c:pt>
                <c:pt idx="42">
                  <c:v>56.796568775721767</c:v>
                </c:pt>
                <c:pt idx="43">
                  <c:v>56.796568775721767</c:v>
                </c:pt>
                <c:pt idx="44">
                  <c:v>56.796568775721767</c:v>
                </c:pt>
                <c:pt idx="45">
                  <c:v>56.796568775721767</c:v>
                </c:pt>
                <c:pt idx="46">
                  <c:v>56.796568775721767</c:v>
                </c:pt>
                <c:pt idx="47">
                  <c:v>56.796568775721767</c:v>
                </c:pt>
                <c:pt idx="48">
                  <c:v>56.796568775721767</c:v>
                </c:pt>
                <c:pt idx="49">
                  <c:v>56.796568775721767</c:v>
                </c:pt>
                <c:pt idx="50">
                  <c:v>56.796568775721767</c:v>
                </c:pt>
                <c:pt idx="51">
                  <c:v>56.796568775721767</c:v>
                </c:pt>
                <c:pt idx="52">
                  <c:v>56.796568775721767</c:v>
                </c:pt>
                <c:pt idx="53">
                  <c:v>56.796568775721767</c:v>
                </c:pt>
                <c:pt idx="54">
                  <c:v>56.796568775721767</c:v>
                </c:pt>
                <c:pt idx="55">
                  <c:v>56.796568775721767</c:v>
                </c:pt>
                <c:pt idx="56">
                  <c:v>56.796568775721767</c:v>
                </c:pt>
                <c:pt idx="57">
                  <c:v>56.796568775721767</c:v>
                </c:pt>
                <c:pt idx="58">
                  <c:v>56.796568775721767</c:v>
                </c:pt>
                <c:pt idx="59">
                  <c:v>56.796568775721767</c:v>
                </c:pt>
                <c:pt idx="60">
                  <c:v>56.796568775721767</c:v>
                </c:pt>
                <c:pt idx="61">
                  <c:v>56.796568775721767</c:v>
                </c:pt>
                <c:pt idx="62">
                  <c:v>56.796568775721767</c:v>
                </c:pt>
                <c:pt idx="63">
                  <c:v>56.796568775721767</c:v>
                </c:pt>
                <c:pt idx="64">
                  <c:v>56.796568775721767</c:v>
                </c:pt>
                <c:pt idx="65">
                  <c:v>56.796568775721767</c:v>
                </c:pt>
                <c:pt idx="66">
                  <c:v>56.796568775721767</c:v>
                </c:pt>
                <c:pt idx="67">
                  <c:v>56.796568775721767</c:v>
                </c:pt>
                <c:pt idx="68">
                  <c:v>56.796568775721767</c:v>
                </c:pt>
                <c:pt idx="69">
                  <c:v>56.796568775721767</c:v>
                </c:pt>
                <c:pt idx="70">
                  <c:v>56.796568775721767</c:v>
                </c:pt>
                <c:pt idx="71">
                  <c:v>56.796568775721767</c:v>
                </c:pt>
                <c:pt idx="72">
                  <c:v>56.796568775721767</c:v>
                </c:pt>
                <c:pt idx="73">
                  <c:v>56.796568775721767</c:v>
                </c:pt>
                <c:pt idx="74">
                  <c:v>56.796568775721767</c:v>
                </c:pt>
                <c:pt idx="75">
                  <c:v>56.796568775721767</c:v>
                </c:pt>
                <c:pt idx="76">
                  <c:v>56.796568775721767</c:v>
                </c:pt>
                <c:pt idx="77">
                  <c:v>56.796568775721767</c:v>
                </c:pt>
                <c:pt idx="78">
                  <c:v>56.796568775721767</c:v>
                </c:pt>
                <c:pt idx="79">
                  <c:v>56.796568775721767</c:v>
                </c:pt>
                <c:pt idx="80">
                  <c:v>56.796568775721767</c:v>
                </c:pt>
                <c:pt idx="81">
                  <c:v>56.796568775721767</c:v>
                </c:pt>
                <c:pt idx="82">
                  <c:v>56.796568775721767</c:v>
                </c:pt>
                <c:pt idx="83">
                  <c:v>56.796568775721767</c:v>
                </c:pt>
                <c:pt idx="84">
                  <c:v>56.796568775721767</c:v>
                </c:pt>
                <c:pt idx="85">
                  <c:v>56.796568775721767</c:v>
                </c:pt>
                <c:pt idx="86">
                  <c:v>56.796568775721767</c:v>
                </c:pt>
                <c:pt idx="87">
                  <c:v>56.796568775721767</c:v>
                </c:pt>
                <c:pt idx="88">
                  <c:v>56.796568775721767</c:v>
                </c:pt>
                <c:pt idx="89">
                  <c:v>56.796568775721767</c:v>
                </c:pt>
                <c:pt idx="90">
                  <c:v>56.796568775721767</c:v>
                </c:pt>
                <c:pt idx="91">
                  <c:v>56.796568775721767</c:v>
                </c:pt>
                <c:pt idx="92">
                  <c:v>56.796568775721767</c:v>
                </c:pt>
                <c:pt idx="93">
                  <c:v>56.796568775721767</c:v>
                </c:pt>
                <c:pt idx="94">
                  <c:v>56.796568775721767</c:v>
                </c:pt>
                <c:pt idx="95">
                  <c:v>56.796568775721767</c:v>
                </c:pt>
                <c:pt idx="96">
                  <c:v>56.796568775721767</c:v>
                </c:pt>
                <c:pt idx="97">
                  <c:v>56.796568775721767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EBD7-46D9-B893-FB3F1FA7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59640"/>
        <c:axId val="28406316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11"/>
                <c:tx>
                  <c:strRef>
                    <c:extLst>
                      <c:ext uri="{02D57815-91ED-43cb-92C2-25804820EDAC}">
                        <c15:formulaRef>
                          <c15:sqref>'Ajustement de GUMBEL'!$J$11</c15:sqref>
                        </c15:formulaRef>
                      </c:ext>
                    </c:extLst>
                    <c:strCache>
                      <c:ptCount val="1"/>
                      <c:pt idx="0">
                        <c:v>5%_r1</c:v>
                      </c:pt>
                    </c:strCache>
                  </c:strRef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'Ajustement de GUMBEL'!$I$12:$I$45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'Ajustement de GUMBEL'!$J$12:$J$45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-4.2888641231317806</c:v>
                      </c:pt>
                      <c:pt idx="1">
                        <c:v>9.9830046013372495</c:v>
                      </c:pt>
                      <c:pt idx="2">
                        <c:v>17.099389986085285</c:v>
                      </c:pt>
                      <c:pt idx="3">
                        <c:v>24.285252170545846</c:v>
                      </c:pt>
                      <c:pt idx="4">
                        <c:v>29.085916717013436</c:v>
                      </c:pt>
                      <c:pt idx="5">
                        <c:v>33.229638716895913</c:v>
                      </c:pt>
                      <c:pt idx="6">
                        <c:v>36.933742365458926</c:v>
                      </c:pt>
                      <c:pt idx="7">
                        <c:v>40.323141478039616</c:v>
                      </c:pt>
                      <c:pt idx="8">
                        <c:v>43.481834242843462</c:v>
                      </c:pt>
                      <c:pt idx="9">
                        <c:v>46.475047039639243</c:v>
                      </c:pt>
                      <c:pt idx="10">
                        <c:v>49.36020436103145</c:v>
                      </c:pt>
                      <c:pt idx="11">
                        <c:v>52.193224695476395</c:v>
                      </c:pt>
                      <c:pt idx="12">
                        <c:v>55.033279218222809</c:v>
                      </c:pt>
                      <c:pt idx="13">
                        <c:v>57.948172565104954</c:v>
                      </c:pt>
                      <c:pt idx="14">
                        <c:v>61.02268899953404</c:v>
                      </c:pt>
                      <c:pt idx="15">
                        <c:v>64.373988903238711</c:v>
                      </c:pt>
                      <c:pt idx="16">
                        <c:v>68.183906948243077</c:v>
                      </c:pt>
                      <c:pt idx="17">
                        <c:v>72.777964942798164</c:v>
                      </c:pt>
                      <c:pt idx="18">
                        <c:v>78.868724662433436</c:v>
                      </c:pt>
                      <c:pt idx="19">
                        <c:v>88.700399437231624</c:v>
                      </c:pt>
                      <c:pt idx="20">
                        <c:v>94.26019486505939</c:v>
                      </c:pt>
                      <c:pt idx="21">
                        <c:v>101.14993148798672</c:v>
                      </c:pt>
                      <c:pt idx="22">
                        <c:v>110.37057048376118</c:v>
                      </c:pt>
                      <c:pt idx="23">
                        <c:v>119.50322407886803</c:v>
                      </c:pt>
                      <c:pt idx="24">
                        <c:v>140.53680840080057</c:v>
                      </c:pt>
                      <c:pt idx="25">
                        <c:v>141.90874280341859</c:v>
                      </c:pt>
                      <c:pt idx="26">
                        <c:v>143.44192658823243</c:v>
                      </c:pt>
                      <c:pt idx="27">
                        <c:v>145.17949515983057</c:v>
                      </c:pt>
                      <c:pt idx="28">
                        <c:v>147.18461372241876</c:v>
                      </c:pt>
                      <c:pt idx="29">
                        <c:v>149.55519301725838</c:v>
                      </c:pt>
                      <c:pt idx="30">
                        <c:v>152.45523057669936</c:v>
                      </c:pt>
                      <c:pt idx="31">
                        <c:v>156.19209711390306</c:v>
                      </c:pt>
                      <c:pt idx="32">
                        <c:v>161.45566340121067</c:v>
                      </c:pt>
                      <c:pt idx="33">
                        <c:v>170.44643109563711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5FF-45F0-AFC9-3F4746E987AE}"/>
                  </c:ext>
                </c:extLst>
              </c15:ser>
            </c15:filteredScatterSeries>
            <c15:filteredScatterSeries>
              <c15:ser>
                <c:idx val="11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GUMBEL'!$K$11</c15:sqref>
                        </c15:formulaRef>
                      </c:ext>
                    </c:extLst>
                    <c:strCache>
                      <c:ptCount val="1"/>
                      <c:pt idx="0">
                        <c:v>95%_r1</c:v>
                      </c:pt>
                    </c:strCache>
                  </c:strRef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GUMBEL'!$I$12:$I$45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GUMBEL'!$K$12:$K$45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36.418446170894889</c:v>
                      </c:pt>
                      <c:pt idx="1">
                        <c:v>43.133134068164132</c:v>
                      </c:pt>
                      <c:pt idx="2">
                        <c:v>46.881030178285421</c:v>
                      </c:pt>
                      <c:pt idx="3">
                        <c:v>51.128439296774886</c:v>
                      </c:pt>
                      <c:pt idx="4">
                        <c:v>54.354176746743889</c:v>
                      </c:pt>
                      <c:pt idx="5">
                        <c:v>57.494931750667043</c:v>
                      </c:pt>
                      <c:pt idx="6">
                        <c:v>60.672977773543053</c:v>
                      </c:pt>
                      <c:pt idx="7">
                        <c:v>63.970427862038903</c:v>
                      </c:pt>
                      <c:pt idx="8">
                        <c:v>67.451549117759669</c:v>
                      </c:pt>
                      <c:pt idx="9">
                        <c:v>71.173644232879738</c:v>
                      </c:pt>
                      <c:pt idx="10">
                        <c:v>75.194783660190964</c:v>
                      </c:pt>
                      <c:pt idx="11">
                        <c:v>79.581496912106346</c:v>
                      </c:pt>
                      <c:pt idx="12">
                        <c:v>84.418284554934402</c:v>
                      </c:pt>
                      <c:pt idx="13">
                        <c:v>89.821271157081213</c:v>
                      </c:pt>
                      <c:pt idx="14">
                        <c:v>95.960508370080532</c:v>
                      </c:pt>
                      <c:pt idx="15">
                        <c:v>103.10118986984671</c:v>
                      </c:pt>
                      <c:pt idx="16">
                        <c:v>111.69022827695446</c:v>
                      </c:pt>
                      <c:pt idx="17">
                        <c:v>122.56899713549912</c:v>
                      </c:pt>
                      <c:pt idx="18">
                        <c:v>137.63149948961973</c:v>
                      </c:pt>
                      <c:pt idx="19">
                        <c:v>162.932448552701</c:v>
                      </c:pt>
                      <c:pt idx="20">
                        <c:v>177.58259199526563</c:v>
                      </c:pt>
                      <c:pt idx="21">
                        <c:v>195.95849435869931</c:v>
                      </c:pt>
                      <c:pt idx="22">
                        <c:v>220.81540158504026</c:v>
                      </c:pt>
                      <c:pt idx="23">
                        <c:v>245.63595097013246</c:v>
                      </c:pt>
                      <c:pt idx="24">
                        <c:v>303.25202237313482</c:v>
                      </c:pt>
                      <c:pt idx="25">
                        <c:v>307.0248583735895</c:v>
                      </c:pt>
                      <c:pt idx="26">
                        <c:v>311.24275041906168</c:v>
                      </c:pt>
                      <c:pt idx="27">
                        <c:v>316.02488714894264</c:v>
                      </c:pt>
                      <c:pt idx="28">
                        <c:v>321.54583873234719</c:v>
                      </c:pt>
                      <c:pt idx="29">
                        <c:v>328.07626468568304</c:v>
                      </c:pt>
                      <c:pt idx="30">
                        <c:v>336.06963026282051</c:v>
                      </c:pt>
                      <c:pt idx="31">
                        <c:v>346.37609668742272</c:v>
                      </c:pt>
                      <c:pt idx="32">
                        <c:v>360.90449691004835</c:v>
                      </c:pt>
                      <c:pt idx="33">
                        <c:v>385.74658742314955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5FF-45F0-AFC9-3F4746E987AE}"/>
                  </c:ext>
                </c:extLst>
              </c15:ser>
            </c15:filteredScatterSeries>
            <c15:filteredScatterSeries>
              <c15:ser>
                <c:idx val="16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GUMBEL'!$W$11</c15:sqref>
                        </c15:formulaRef>
                      </c:ext>
                    </c:extLst>
                    <c:strCache>
                      <c:ptCount val="1"/>
                      <c:pt idx="0">
                        <c:v>5%_r10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GUMBEL'!$V$12:$V$45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GUMBEL'!$W$12:$W$45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-21.609361862650001</c:v>
                      </c:pt>
                      <c:pt idx="1">
                        <c:v>-2.5253671852615796</c:v>
                      </c:pt>
                      <c:pt idx="2">
                        <c:v>6.9904897376606705</c:v>
                      </c:pt>
                      <c:pt idx="3">
                        <c:v>16.599249342180791</c:v>
                      </c:pt>
                      <c:pt idx="4">
                        <c:v>23.018580855204029</c:v>
                      </c:pt>
                      <c:pt idx="5">
                        <c:v>28.559464821909415</c:v>
                      </c:pt>
                      <c:pt idx="6">
                        <c:v>33.512501854297163</c:v>
                      </c:pt>
                      <c:pt idx="7">
                        <c:v>38.04472365879959</c:v>
                      </c:pt>
                      <c:pt idx="8">
                        <c:v>42.268450563439025</c:v>
                      </c:pt>
                      <c:pt idx="9">
                        <c:v>46.270901691959118</c:v>
                      </c:pt>
                      <c:pt idx="10">
                        <c:v>50.128863674924702</c:v>
                      </c:pt>
                      <c:pt idx="11">
                        <c:v>53.917109350894648</c:v>
                      </c:pt>
                      <c:pt idx="12">
                        <c:v>57.714760971853067</c:v>
                      </c:pt>
                      <c:pt idx="13">
                        <c:v>61.612485242654429</c:v>
                      </c:pt>
                      <c:pt idx="14">
                        <c:v>65.723653611908787</c:v>
                      </c:pt>
                      <c:pt idx="15">
                        <c:v>70.204930083782443</c:v>
                      </c:pt>
                      <c:pt idx="16">
                        <c:v>75.299459545610446</c:v>
                      </c:pt>
                      <c:pt idx="17">
                        <c:v>81.442521817854328</c:v>
                      </c:pt>
                      <c:pt idx="18">
                        <c:v>89.586937122872172</c:v>
                      </c:pt>
                      <c:pt idx="19">
                        <c:v>102.7336127751206</c:v>
                      </c:pt>
                      <c:pt idx="20">
                        <c:v>110.16803558270433</c:v>
                      </c:pt>
                      <c:pt idx="21">
                        <c:v>119.38082331071404</c:v>
                      </c:pt>
                      <c:pt idx="22">
                        <c:v>131.7104368262718</c:v>
                      </c:pt>
                      <c:pt idx="23">
                        <c:v>143.92239841057622</c:v>
                      </c:pt>
                      <c:pt idx="24">
                        <c:v>172.04799422396502</c:v>
                      </c:pt>
                      <c:pt idx="25">
                        <c:v>173.88251143700523</c:v>
                      </c:pt>
                      <c:pt idx="26">
                        <c:v>175.93264739002734</c:v>
                      </c:pt>
                      <c:pt idx="27">
                        <c:v>178.25608169370227</c:v>
                      </c:pt>
                      <c:pt idx="28">
                        <c:v>180.93727731809577</c:v>
                      </c:pt>
                      <c:pt idx="29">
                        <c:v>184.10715811776166</c:v>
                      </c:pt>
                      <c:pt idx="30">
                        <c:v>187.98501759202313</c:v>
                      </c:pt>
                      <c:pt idx="31">
                        <c:v>192.98186435980756</c:v>
                      </c:pt>
                      <c:pt idx="32">
                        <c:v>200.02017678758645</c:v>
                      </c:pt>
                      <c:pt idx="33">
                        <c:v>212.04241200699377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864-46CB-B4DD-6AB6A419B705}"/>
                  </c:ext>
                </c:extLst>
              </c15:ser>
            </c15:filteredScatterSeries>
            <c15:filteredScatterSeries>
              <c15:ser>
                <c:idx val="17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GUMBEL'!$X$11</c15:sqref>
                        </c15:formulaRef>
                      </c:ext>
                    </c:extLst>
                    <c:strCache>
                      <c:ptCount val="1"/>
                      <c:pt idx="0">
                        <c:v>95%_r10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GUMBEL'!$V$12:$V$45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GUMBEL'!$X$12:$X$45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32.8234603542532</c:v>
                      </c:pt>
                      <c:pt idx="1">
                        <c:v>41.802177196856313</c:v>
                      </c:pt>
                      <c:pt idx="2">
                        <c:v>46.8137724404652</c:v>
                      </c:pt>
                      <c:pt idx="3">
                        <c:v>52.493304292588483</c:v>
                      </c:pt>
                      <c:pt idx="4">
                        <c:v>56.806681714587661</c:v>
                      </c:pt>
                      <c:pt idx="5">
                        <c:v>61.00642268299265</c:v>
                      </c:pt>
                      <c:pt idx="6">
                        <c:v>65.256028292178058</c:v>
                      </c:pt>
                      <c:pt idx="7">
                        <c:v>69.665298104891392</c:v>
                      </c:pt>
                      <c:pt idx="8">
                        <c:v>74.320168521518639</c:v>
                      </c:pt>
                      <c:pt idx="9">
                        <c:v>79.297263304061062</c:v>
                      </c:pt>
                      <c:pt idx="10">
                        <c:v>84.674232845286923</c:v>
                      </c:pt>
                      <c:pt idx="11">
                        <c:v>90.540038786120149</c:v>
                      </c:pt>
                      <c:pt idx="12">
                        <c:v>97.007673222326261</c:v>
                      </c:pt>
                      <c:pt idx="13">
                        <c:v>104.23241509376655</c:v>
                      </c:pt>
                      <c:pt idx="14">
                        <c:v>112.44165332023871</c:v>
                      </c:pt>
                      <c:pt idx="15">
                        <c:v>121.98999841542761</c:v>
                      </c:pt>
                      <c:pt idx="16">
                        <c:v>133.47505103254571</c:v>
                      </c:pt>
                      <c:pt idx="17">
                        <c:v>148.02187534834528</c:v>
                      </c:pt>
                      <c:pt idx="18">
                        <c:v>168.16308602675858</c:v>
                      </c:pt>
                      <c:pt idx="19">
                        <c:v>201.99489786404706</c:v>
                      </c:pt>
                      <c:pt idx="20">
                        <c:v>221.58471226596461</c:v>
                      </c:pt>
                      <c:pt idx="21">
                        <c:v>246.15652060208873</c:v>
                      </c:pt>
                      <c:pt idx="22">
                        <c:v>279.39457052827157</c:v>
                      </c:pt>
                      <c:pt idx="23">
                        <c:v>312.58400363613373</c:v>
                      </c:pt>
                      <c:pt idx="24">
                        <c:v>389.62680869653661</c:v>
                      </c:pt>
                      <c:pt idx="25">
                        <c:v>394.67175295305793</c:v>
                      </c:pt>
                      <c:pt idx="26">
                        <c:v>400.31181529525031</c:v>
                      </c:pt>
                      <c:pt idx="27">
                        <c:v>406.70637186394424</c:v>
                      </c:pt>
                      <c:pt idx="28">
                        <c:v>414.0888536304119</c:v>
                      </c:pt>
                      <c:pt idx="29">
                        <c:v>422.82117989689925</c:v>
                      </c:pt>
                      <c:pt idx="30">
                        <c:v>433.50971333800169</c:v>
                      </c:pt>
                      <c:pt idx="31">
                        <c:v>447.29126880120248</c:v>
                      </c:pt>
                      <c:pt idx="32">
                        <c:v>466.71829113950332</c:v>
                      </c:pt>
                      <c:pt idx="33">
                        <c:v>499.93652851821503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864-46CB-B4DD-6AB6A419B705}"/>
                  </c:ext>
                </c:extLst>
              </c15:ser>
            </c15:filteredScatterSeries>
            <c15:filteredScatterSeries>
              <c15:ser>
                <c:idx val="18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GUMBEL'!$AJ$11</c15:sqref>
                        </c15:formulaRef>
                      </c:ext>
                    </c:extLst>
                    <c:strCache>
                      <c:ptCount val="1"/>
                      <c:pt idx="0">
                        <c:v>5%_r2</c:v>
                      </c:pt>
                    </c:strCache>
                  </c:strRef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GUMBEL'!$AI$12:$AI$45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GUMBEL'!$AJ$12:$AJ$45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-6.0684067807010571</c:v>
                      </c:pt>
                      <c:pt idx="1">
                        <c:v>9.0884892668441779</c:v>
                      </c:pt>
                      <c:pt idx="2">
                        <c:v>16.646176041664845</c:v>
                      </c:pt>
                      <c:pt idx="3">
                        <c:v>24.277648012474131</c:v>
                      </c:pt>
                      <c:pt idx="4">
                        <c:v>29.376011435982445</c:v>
                      </c:pt>
                      <c:pt idx="5">
                        <c:v>33.77669398251291</c:v>
                      </c:pt>
                      <c:pt idx="6">
                        <c:v>37.710496558369449</c:v>
                      </c:pt>
                      <c:pt idx="7">
                        <c:v>41.310079136154044</c:v>
                      </c:pt>
                      <c:pt idx="8">
                        <c:v>44.664648800894732</c:v>
                      </c:pt>
                      <c:pt idx="9">
                        <c:v>47.843476751535356</c:v>
                      </c:pt>
                      <c:pt idx="10">
                        <c:v>50.907548489119435</c:v>
                      </c:pt>
                      <c:pt idx="11">
                        <c:v>53.916250120192032</c:v>
                      </c:pt>
                      <c:pt idx="12">
                        <c:v>56.932422143749491</c:v>
                      </c:pt>
                      <c:pt idx="13">
                        <c:v>60.028073897652341</c:v>
                      </c:pt>
                      <c:pt idx="14">
                        <c:v>63.29324728824102</c:v>
                      </c:pt>
                      <c:pt idx="15">
                        <c:v>66.852368048475583</c:v>
                      </c:pt>
                      <c:pt idx="16">
                        <c:v>70.898546784606452</c:v>
                      </c:pt>
                      <c:pt idx="17">
                        <c:v>75.777491567813627</c:v>
                      </c:pt>
                      <c:pt idx="18">
                        <c:v>82.245951564422938</c:v>
                      </c:pt>
                      <c:pt idx="19">
                        <c:v>92.687308292949922</c:v>
                      </c:pt>
                      <c:pt idx="20">
                        <c:v>98.591877832657389</c:v>
                      </c:pt>
                      <c:pt idx="21">
                        <c:v>105.90886089946737</c:v>
                      </c:pt>
                      <c:pt idx="22">
                        <c:v>115.70129028969043</c:v>
                      </c:pt>
                      <c:pt idx="23">
                        <c:v>125.40027812734824</c:v>
                      </c:pt>
                      <c:pt idx="24">
                        <c:v>147.73819737461702</c:v>
                      </c:pt>
                      <c:pt idx="25">
                        <c:v>149.19520819261029</c:v>
                      </c:pt>
                      <c:pt idx="26">
                        <c:v>150.82346779174492</c:v>
                      </c:pt>
                      <c:pt idx="27">
                        <c:v>152.66878648992224</c:v>
                      </c:pt>
                      <c:pt idx="28">
                        <c:v>154.79824649287519</c:v>
                      </c:pt>
                      <c:pt idx="29">
                        <c:v>157.31583018412258</c:v>
                      </c:pt>
                      <c:pt idx="30">
                        <c:v>160.39570491328561</c:v>
                      </c:pt>
                      <c:pt idx="31">
                        <c:v>164.36430207049176</c:v>
                      </c:pt>
                      <c:pt idx="32">
                        <c:v>169.95427270407134</c:v>
                      </c:pt>
                      <c:pt idx="33">
                        <c:v>179.50257601059013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864-46CB-B4DD-6AB6A419B705}"/>
                  </c:ext>
                </c:extLst>
              </c15:ser>
            </c15:filteredScatterSeries>
            <c15:filteredScatterSeries>
              <c15:ser>
                <c:idx val="19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GUMBEL'!$AK$11</c15:sqref>
                        </c15:formulaRef>
                      </c:ext>
                    </c:extLst>
                    <c:strCache>
                      <c:ptCount val="1"/>
                      <c:pt idx="0">
                        <c:v>95%_r2</c:v>
                      </c:pt>
                    </c:strCache>
                  </c:strRef>
                </c:tx>
                <c:spPr>
                  <a:ln w="19050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GUMBEL'!$AI$12:$AI$45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GUMBEL'!$AK$12:$AK$45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37.163245808976541</c:v>
                      </c:pt>
                      <c:pt idx="1">
                        <c:v>44.294325026103138</c:v>
                      </c:pt>
                      <c:pt idx="2">
                        <c:v>48.274635722256974</c:v>
                      </c:pt>
                      <c:pt idx="3">
                        <c:v>52.785435234444591</c:v>
                      </c:pt>
                      <c:pt idx="4">
                        <c:v>56.211207160305179</c:v>
                      </c:pt>
                      <c:pt idx="5">
                        <c:v>59.5467267074864</c:v>
                      </c:pt>
                      <c:pt idx="6">
                        <c:v>62.921849764809672</c:v>
                      </c:pt>
                      <c:pt idx="7">
                        <c:v>66.423781374341061</c:v>
                      </c:pt>
                      <c:pt idx="8">
                        <c:v>70.120773970089786</c:v>
                      </c:pt>
                      <c:pt idx="9">
                        <c:v>74.073683699579306</c:v>
                      </c:pt>
                      <c:pt idx="10">
                        <c:v>78.344182081332704</c:v>
                      </c:pt>
                      <c:pt idx="11">
                        <c:v>83.002924256817792</c:v>
                      </c:pt>
                      <c:pt idx="12">
                        <c:v>88.139650842643633</c:v>
                      </c:pt>
                      <c:pt idx="13">
                        <c:v>93.877687525577414</c:v>
                      </c:pt>
                      <c:pt idx="14">
                        <c:v>100.3976312025477</c:v>
                      </c:pt>
                      <c:pt idx="15">
                        <c:v>107.98112074341104</c:v>
                      </c:pt>
                      <c:pt idx="16">
                        <c:v>117.10278272042373</c:v>
                      </c:pt>
                      <c:pt idx="17">
                        <c:v>128.65616594567257</c:v>
                      </c:pt>
                      <c:pt idx="18">
                        <c:v>144.65272440657625</c:v>
                      </c:pt>
                      <c:pt idx="19">
                        <c:v>171.52263627704343</c:v>
                      </c:pt>
                      <c:pt idx="20">
                        <c:v>187.08126461979677</c:v>
                      </c:pt>
                      <c:pt idx="21">
                        <c:v>206.59669369776196</c:v>
                      </c:pt>
                      <c:pt idx="22">
                        <c:v>232.99502780289455</c:v>
                      </c:pt>
                      <c:pt idx="23">
                        <c:v>259.35474944381798</c:v>
                      </c:pt>
                      <c:pt idx="24">
                        <c:v>320.54370947299878</c:v>
                      </c:pt>
                      <c:pt idx="25">
                        <c:v>324.55050663231441</c:v>
                      </c:pt>
                      <c:pt idx="26">
                        <c:v>329.02995865833969</c:v>
                      </c:pt>
                      <c:pt idx="27">
                        <c:v>334.10864531803986</c:v>
                      </c:pt>
                      <c:pt idx="28">
                        <c:v>339.97196222830013</c:v>
                      </c:pt>
                      <c:pt idx="29">
                        <c:v>346.9073530472474</c:v>
                      </c:pt>
                      <c:pt idx="30">
                        <c:v>355.39640332242129</c:v>
                      </c:pt>
                      <c:pt idx="31">
                        <c:v>366.34199448718465</c:v>
                      </c:pt>
                      <c:pt idx="32">
                        <c:v>381.77133006774039</c:v>
                      </c:pt>
                      <c:pt idx="33">
                        <c:v>408.15392864540433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64-46CB-B4DD-6AB6A419B705}"/>
                  </c:ext>
                </c:extLst>
              </c15:ser>
            </c15:filteredScatterSeries>
            <c15:filteredScatterSeries>
              <c15:ser>
                <c:idx val="20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GUMBEL'!$AW$11</c15:sqref>
                        </c15:formulaRef>
                      </c:ext>
                    </c:extLst>
                    <c:strCache>
                      <c:ptCount val="1"/>
                      <c:pt idx="0">
                        <c:v>5%_r3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GUMBEL'!$AV$12:$AV$45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GUMBEL'!$AW$12:$AW$45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-23.488082761995621</c:v>
                      </c:pt>
                      <c:pt idx="1">
                        <c:v>-3.6399354978068175</c:v>
                      </c:pt>
                      <c:pt idx="2">
                        <c:v>6.2569510159426187</c:v>
                      </c:pt>
                      <c:pt idx="3">
                        <c:v>16.250460177977388</c:v>
                      </c:pt>
                      <c:pt idx="4">
                        <c:v>22.926831627561604</c:v>
                      </c:pt>
                      <c:pt idx="5">
                        <c:v>28.689581135936599</c:v>
                      </c:pt>
                      <c:pt idx="6">
                        <c:v>33.840945411902013</c:v>
                      </c:pt>
                      <c:pt idx="7">
                        <c:v>38.5546443690871</c:v>
                      </c:pt>
                      <c:pt idx="8">
                        <c:v>42.947495814719147</c:v>
                      </c:pt>
                      <c:pt idx="9">
                        <c:v>47.110211260805023</c:v>
                      </c:pt>
                      <c:pt idx="10">
                        <c:v>51.122651993052266</c:v>
                      </c:pt>
                      <c:pt idx="11">
                        <c:v>55.06258486982393</c:v>
                      </c:pt>
                      <c:pt idx="12">
                        <c:v>59.01230032013148</c:v>
                      </c:pt>
                      <c:pt idx="13">
                        <c:v>63.066095483558698</c:v>
                      </c:pt>
                      <c:pt idx="14">
                        <c:v>67.341881376410484</c:v>
                      </c:pt>
                      <c:pt idx="15">
                        <c:v>72.002595071257531</c:v>
                      </c:pt>
                      <c:pt idx="16">
                        <c:v>77.301117351811257</c:v>
                      </c:pt>
                      <c:pt idx="17">
                        <c:v>83.690157314028653</c:v>
                      </c:pt>
                      <c:pt idx="18">
                        <c:v>92.160687571838878</c:v>
                      </c:pt>
                      <c:pt idx="19">
                        <c:v>105.83377639791792</c:v>
                      </c:pt>
                      <c:pt idx="20">
                        <c:v>113.56588496342707</c:v>
                      </c:pt>
                      <c:pt idx="21">
                        <c:v>123.14756692417006</c:v>
                      </c:pt>
                      <c:pt idx="22">
                        <c:v>135.9708771851648</c:v>
                      </c:pt>
                      <c:pt idx="23">
                        <c:v>148.67182455008304</c:v>
                      </c:pt>
                      <c:pt idx="24">
                        <c:v>177.92361260778057</c:v>
                      </c:pt>
                      <c:pt idx="25">
                        <c:v>179.83158672004822</c:v>
                      </c:pt>
                      <c:pt idx="26">
                        <c:v>181.96381327927082</c:v>
                      </c:pt>
                      <c:pt idx="27">
                        <c:v>184.38028147671002</c:v>
                      </c:pt>
                      <c:pt idx="28">
                        <c:v>187.16883631004976</c:v>
                      </c:pt>
                      <c:pt idx="29">
                        <c:v>190.4656440269498</c:v>
                      </c:pt>
                      <c:pt idx="30">
                        <c:v>194.49877897673923</c:v>
                      </c:pt>
                      <c:pt idx="31">
                        <c:v>199.6957071974897</c:v>
                      </c:pt>
                      <c:pt idx="32">
                        <c:v>207.01584451252705</c:v>
                      </c:pt>
                      <c:pt idx="33">
                        <c:v>219.5194685762165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864-46CB-B4DD-6AB6A419B705}"/>
                  </c:ext>
                </c:extLst>
              </c15:ser>
            </c15:filteredScatterSeries>
            <c15:filteredScatterSeries>
              <c15:ser>
                <c:idx val="21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GUMBEL'!$AX$11</c15:sqref>
                        </c15:formulaRef>
                      </c:ext>
                    </c:extLst>
                    <c:strCache>
                      <c:ptCount val="1"/>
                      <c:pt idx="0">
                        <c:v>95%_r3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GUMBEL'!$AV$12:$AV$45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GUMBEL'!$AX$12:$AX$45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33.124313627246657</c:v>
                      </c:pt>
                      <c:pt idx="1">
                        <c:v>42.462552143242021</c:v>
                      </c:pt>
                      <c:pt idx="2">
                        <c:v>47.674819391540666</c:v>
                      </c:pt>
                      <c:pt idx="3">
                        <c:v>53.581768460550805</c:v>
                      </c:pt>
                      <c:pt idx="4">
                        <c:v>58.067860168557011</c:v>
                      </c:pt>
                      <c:pt idx="5">
                        <c:v>62.435765244065884</c:v>
                      </c:pt>
                      <c:pt idx="6">
                        <c:v>66.855531617495686</c:v>
                      </c:pt>
                      <c:pt idx="7">
                        <c:v>71.441355395468605</c:v>
                      </c:pt>
                      <c:pt idx="8">
                        <c:v>76.282614004411855</c:v>
                      </c:pt>
                      <c:pt idx="9">
                        <c:v>81.458999339960798</c:v>
                      </c:pt>
                      <c:pt idx="10">
                        <c:v>87.051271036397537</c:v>
                      </c:pt>
                      <c:pt idx="11">
                        <c:v>93.151952895985232</c:v>
                      </c:pt>
                      <c:pt idx="12">
                        <c:v>99.878561392311042</c:v>
                      </c:pt>
                      <c:pt idx="13">
                        <c:v>107.39259307352934</c:v>
                      </c:pt>
                      <c:pt idx="14">
                        <c:v>115.93054186256795</c:v>
                      </c:pt>
                      <c:pt idx="15">
                        <c:v>125.86121742511943</c:v>
                      </c:pt>
                      <c:pt idx="16">
                        <c:v>137.80614926643941</c:v>
                      </c:pt>
                      <c:pt idx="17">
                        <c:v>152.93545086849704</c:v>
                      </c:pt>
                      <c:pt idx="18">
                        <c:v>173.88314669330566</c:v>
                      </c:pt>
                      <c:pt idx="19">
                        <c:v>209.06963646719197</c:v>
                      </c:pt>
                      <c:pt idx="20">
                        <c:v>229.44385725798267</c:v>
                      </c:pt>
                      <c:pt idx="21">
                        <c:v>254.99955870557682</c:v>
                      </c:pt>
                      <c:pt idx="22">
                        <c:v>289.56851142547015</c:v>
                      </c:pt>
                      <c:pt idx="23">
                        <c:v>324.0869006346386</c:v>
                      </c:pt>
                      <c:pt idx="24">
                        <c:v>404.21461845971646</c:v>
                      </c:pt>
                      <c:pt idx="25">
                        <c:v>409.46157006685041</c:v>
                      </c:pt>
                      <c:pt idx="26">
                        <c:v>415.32746920586436</c:v>
                      </c:pt>
                      <c:pt idx="27">
                        <c:v>421.9780736841293</c:v>
                      </c:pt>
                      <c:pt idx="28">
                        <c:v>429.65616140910925</c:v>
                      </c:pt>
                      <c:pt idx="29">
                        <c:v>438.73814349022678</c:v>
                      </c:pt>
                      <c:pt idx="30">
                        <c:v>449.85466229897338</c:v>
                      </c:pt>
                      <c:pt idx="31">
                        <c:v>464.18805250303251</c:v>
                      </c:pt>
                      <c:pt idx="32">
                        <c:v>484.39296278484818</c:v>
                      </c:pt>
                      <c:pt idx="33">
                        <c:v>518.94130963230589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64-46CB-B4DD-6AB6A419B705}"/>
                  </c:ext>
                </c:extLst>
              </c15:ser>
            </c15:filteredScatterSeries>
            <c15:filteredScatterSeries>
              <c15:ser>
                <c:idx val="22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GUMBEL'!$BJ$11</c15:sqref>
                        </c15:formulaRef>
                      </c:ext>
                    </c:extLst>
                    <c:strCache>
                      <c:ptCount val="1"/>
                      <c:pt idx="0">
                        <c:v>5%_r4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GUMBEL'!$BI$12:$BI$45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GUMBEL'!$BK$12:$BK$45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36.625135740781843</c:v>
                      </c:pt>
                      <c:pt idx="1">
                        <c:v>45.437035675722349</c:v>
                      </c:pt>
                      <c:pt idx="2">
                        <c:v>50.355519750369027</c:v>
                      </c:pt>
                      <c:pt idx="3">
                        <c:v>55.929530740530502</c:v>
                      </c:pt>
                      <c:pt idx="4">
                        <c:v>60.162769285702041</c:v>
                      </c:pt>
                      <c:pt idx="5">
                        <c:v>64.284482645751126</c:v>
                      </c:pt>
                      <c:pt idx="6">
                        <c:v>68.455134204047397</c:v>
                      </c:pt>
                      <c:pt idx="7">
                        <c:v>72.782483541028952</c:v>
                      </c:pt>
                      <c:pt idx="8">
                        <c:v>77.350870431993897</c:v>
                      </c:pt>
                      <c:pt idx="9">
                        <c:v>82.235495034740921</c:v>
                      </c:pt>
                      <c:pt idx="10">
                        <c:v>87.512565063910984</c:v>
                      </c:pt>
                      <c:pt idx="11">
                        <c:v>93.269389328948847</c:v>
                      </c:pt>
                      <c:pt idx="12">
                        <c:v>99.616860628767739</c:v>
                      </c:pt>
                      <c:pt idx="13">
                        <c:v>106.70737295284826</c:v>
                      </c:pt>
                      <c:pt idx="14">
                        <c:v>114.76409052862924</c:v>
                      </c:pt>
                      <c:pt idx="15">
                        <c:v>124.13503550863496</c:v>
                      </c:pt>
                      <c:pt idx="16">
                        <c:v>135.4067056351906</c:v>
                      </c:pt>
                      <c:pt idx="17">
                        <c:v>149.68326235137516</c:v>
                      </c:pt>
                      <c:pt idx="18">
                        <c:v>169.45026649884949</c:v>
                      </c:pt>
                      <c:pt idx="19">
                        <c:v>202.65351210220342</c:v>
                      </c:pt>
                      <c:pt idx="20">
                        <c:v>221.8793644461233</c:v>
                      </c:pt>
                      <c:pt idx="21">
                        <c:v>245.99464952239128</c:v>
                      </c:pt>
                      <c:pt idx="22">
                        <c:v>278.61516480496977</c:v>
                      </c:pt>
                      <c:pt idx="23">
                        <c:v>311.18796652828286</c:v>
                      </c:pt>
                      <c:pt idx="24">
                        <c:v>386.79938192319946</c:v>
                      </c:pt>
                      <c:pt idx="25">
                        <c:v>391.75059541451731</c:v>
                      </c:pt>
                      <c:pt idx="26">
                        <c:v>397.2858702046081</c:v>
                      </c:pt>
                      <c:pt idx="27">
                        <c:v>403.5616213614195</c:v>
                      </c:pt>
                      <c:pt idx="28">
                        <c:v>410.80694290769679</c:v>
                      </c:pt>
                      <c:pt idx="29">
                        <c:v>419.37702999346243</c:v>
                      </c:pt>
                      <c:pt idx="30">
                        <c:v>429.86697959153372</c:v>
                      </c:pt>
                      <c:pt idx="31">
                        <c:v>443.39248549827187</c:v>
                      </c:pt>
                      <c:pt idx="32">
                        <c:v>462.45857031639275</c:v>
                      </c:pt>
                      <c:pt idx="33">
                        <c:v>495.05964115174874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864-46CB-B4DD-6AB6A419B705}"/>
                  </c:ext>
                </c:extLst>
              </c15:ser>
            </c15:filteredScatterSeries>
            <c15:filteredScatterSeries>
              <c15:ser>
                <c:idx val="23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GUMBEL'!$BK$11</c15:sqref>
                        </c15:formulaRef>
                      </c:ext>
                    </c:extLst>
                    <c:strCache>
                      <c:ptCount val="1"/>
                      <c:pt idx="0">
                        <c:v>95%_r4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GUMBEL'!$BI$12:$BI$45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864-46CB-B4DD-6AB6A419B705}"/>
                  </c:ext>
                </c:extLst>
              </c15:ser>
            </c15:filteredScatterSeries>
            <c15:filteredScatterSeries>
              <c15:ser>
                <c:idx val="1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GUMBEL'!$BW$11</c15:sqref>
                        </c15:formulaRef>
                      </c:ext>
                    </c:extLst>
                    <c:strCache>
                      <c:ptCount val="1"/>
                      <c:pt idx="0">
                        <c:v>5%_r5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GUMBEL'!$BV$12:$BV$45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GUMBEL'!$BW$12:$BW$45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-22.573401185251971</c:v>
                      </c:pt>
                      <c:pt idx="1">
                        <c:v>-2.9150318586730215</c:v>
                      </c:pt>
                      <c:pt idx="2">
                        <c:v>6.8872256357358062</c:v>
                      </c:pt>
                      <c:pt idx="3">
                        <c:v>16.785181921574523</c:v>
                      </c:pt>
                      <c:pt idx="4">
                        <c:v>23.397717286734594</c:v>
                      </c:pt>
                      <c:pt idx="5">
                        <c:v>29.105366301239574</c:v>
                      </c:pt>
                      <c:pt idx="6">
                        <c:v>34.207475839462596</c:v>
                      </c:pt>
                      <c:pt idx="7">
                        <c:v>38.876104793150581</c:v>
                      </c:pt>
                      <c:pt idx="8">
                        <c:v>43.226954016787687</c:v>
                      </c:pt>
                      <c:pt idx="9">
                        <c:v>47.349867684818435</c:v>
                      </c:pt>
                      <c:pt idx="10">
                        <c:v>51.323943489759756</c:v>
                      </c:pt>
                      <c:pt idx="11">
                        <c:v>55.2262047226383</c:v>
                      </c:pt>
                      <c:pt idx="12">
                        <c:v>59.138154993036181</c:v>
                      </c:pt>
                      <c:pt idx="13">
                        <c:v>63.153189819018934</c:v>
                      </c:pt>
                      <c:pt idx="14">
                        <c:v>67.388092811436422</c:v>
                      </c:pt>
                      <c:pt idx="15">
                        <c:v>72.004243121045306</c:v>
                      </c:pt>
                      <c:pt idx="16">
                        <c:v>77.252103613503664</c:v>
                      </c:pt>
                      <c:pt idx="17">
                        <c:v>83.58005480954067</c:v>
                      </c:pt>
                      <c:pt idx="18">
                        <c:v>91.969594144551252</c:v>
                      </c:pt>
                      <c:pt idx="19">
                        <c:v>105.51194781617832</c:v>
                      </c:pt>
                      <c:pt idx="20">
                        <c:v>113.170125873343</c:v>
                      </c:pt>
                      <c:pt idx="21">
                        <c:v>122.66019264113422</c:v>
                      </c:pt>
                      <c:pt idx="22">
                        <c:v>135.36089290018418</c:v>
                      </c:pt>
                      <c:pt idx="23">
                        <c:v>147.94040023523348</c:v>
                      </c:pt>
                      <c:pt idx="24">
                        <c:v>176.91249750189144</c:v>
                      </c:pt>
                      <c:pt idx="25">
                        <c:v>178.80222853145631</c:v>
                      </c:pt>
                      <c:pt idx="26">
                        <c:v>180.91406781958801</c:v>
                      </c:pt>
                      <c:pt idx="27">
                        <c:v>183.30743097126626</c:v>
                      </c:pt>
                      <c:pt idx="28">
                        <c:v>186.06932305477153</c:v>
                      </c:pt>
                      <c:pt idx="29">
                        <c:v>189.33460836502661</c:v>
                      </c:pt>
                      <c:pt idx="30">
                        <c:v>193.32918051987681</c:v>
                      </c:pt>
                      <c:pt idx="31">
                        <c:v>198.47641834350793</c:v>
                      </c:pt>
                      <c:pt idx="32">
                        <c:v>205.7265642107705</c:v>
                      </c:pt>
                      <c:pt idx="33">
                        <c:v>218.11063495011825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5FF-45F0-AFC9-3F4746E987AE}"/>
                  </c:ext>
                </c:extLst>
              </c15:ser>
            </c15:filteredScatterSeries>
            <c15:filteredScatterSeries>
              <c15:ser>
                <c:idx val="1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GUMBEL'!$BX$11</c15:sqref>
                        </c15:formulaRef>
                      </c:ext>
                    </c:extLst>
                    <c:strCache>
                      <c:ptCount val="1"/>
                      <c:pt idx="0">
                        <c:v>95%_r5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GUMBEL'!$BV$12:$BV$45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-1.5271796258079011</c:v>
                      </c:pt>
                      <c:pt idx="1">
                        <c:v>-1.0971887003649488</c:v>
                      </c:pt>
                      <c:pt idx="2">
                        <c:v>-0.87459179995620184</c:v>
                      </c:pt>
                      <c:pt idx="3">
                        <c:v>-0.64033693876074793</c:v>
                      </c:pt>
                      <c:pt idx="4">
                        <c:v>-0.47588499532711054</c:v>
                      </c:pt>
                      <c:pt idx="5">
                        <c:v>-0.32663425997828094</c:v>
                      </c:pt>
                      <c:pt idx="6">
                        <c:v>-0.18562675886236574</c:v>
                      </c:pt>
                      <c:pt idx="7">
                        <c:v>-4.8620744579389266E-2</c:v>
                      </c:pt>
                      <c:pt idx="8">
                        <c:v>8.7421571790755173E-2</c:v>
                      </c:pt>
                      <c:pt idx="9">
                        <c:v>0.22501067302940872</c:v>
                      </c:pt>
                      <c:pt idx="10">
                        <c:v>0.36651292058166435</c:v>
                      </c:pt>
                      <c:pt idx="11">
                        <c:v>0.51443713617380327</c:v>
                      </c:pt>
                      <c:pt idx="12">
                        <c:v>0.67172699209212194</c:v>
                      </c:pt>
                      <c:pt idx="13">
                        <c:v>0.84215099072473287</c:v>
                      </c:pt>
                      <c:pt idx="14">
                        <c:v>1.0309304331587228</c:v>
                      </c:pt>
                      <c:pt idx="15">
                        <c:v>1.2458993237072382</c:v>
                      </c:pt>
                      <c:pt idx="16">
                        <c:v>1.4999399867595158</c:v>
                      </c:pt>
                      <c:pt idx="17">
                        <c:v>1.8169607947796103</c:v>
                      </c:pt>
                      <c:pt idx="18">
                        <c:v>2.2503673273124454</c:v>
                      </c:pt>
                      <c:pt idx="19">
                        <c:v>2.9701952490421637</c:v>
                      </c:pt>
                      <c:pt idx="20">
                        <c:v>3.3842741508198935</c:v>
                      </c:pt>
                      <c:pt idx="21">
                        <c:v>3.9019386579358333</c:v>
                      </c:pt>
                      <c:pt idx="22">
                        <c:v>4.6001492267765789</c:v>
                      </c:pt>
                      <c:pt idx="23">
                        <c:v>5.2958121425350253</c:v>
                      </c:pt>
                      <c:pt idx="24">
                        <c:v>6.9072550705237159</c:v>
                      </c:pt>
                      <c:pt idx="25">
                        <c:v>7.0126656257987676</c:v>
                      </c:pt>
                      <c:pt idx="26">
                        <c:v>7.1304986968989494</c:v>
                      </c:pt>
                      <c:pt idx="27">
                        <c:v>7.264080120794592</c:v>
                      </c:pt>
                      <c:pt idx="28">
                        <c:v>7.4182808277210412</c:v>
                      </c:pt>
                      <c:pt idx="29">
                        <c:v>7.6006524074432287</c:v>
                      </c:pt>
                      <c:pt idx="30">
                        <c:v>7.8238459775150666</c:v>
                      </c:pt>
                      <c:pt idx="31">
                        <c:v>8.1115780645548075</c:v>
                      </c:pt>
                      <c:pt idx="32">
                        <c:v>8.5170931830820145</c:v>
                      </c:pt>
                      <c:pt idx="33">
                        <c:v>9.2102903698928351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'Ajustement de GUMBEL'!$BX$12:$BX$45</c15:sqref>
                        </c15:formulaRef>
                      </c:ext>
                    </c:extLst>
                    <c:numCache>
                      <c:formatCode>0.00</c:formatCode>
                      <c:ptCount val="34"/>
                      <c:pt idx="0">
                        <c:v>33.497696125194835</c:v>
                      </c:pt>
                      <c:pt idx="1">
                        <c:v>42.746647131233431</c:v>
                      </c:pt>
                      <c:pt idx="2">
                        <c:v>47.909077318395489</c:v>
                      </c:pt>
                      <c:pt idx="3">
                        <c:v>53.759547130326268</c:v>
                      </c:pt>
                      <c:pt idx="4">
                        <c:v>58.202745100144114</c:v>
                      </c:pt>
                      <c:pt idx="5">
                        <c:v>62.528886478222077</c:v>
                      </c:pt>
                      <c:pt idx="6">
                        <c:v>66.906393282740851</c:v>
                      </c:pt>
                      <c:pt idx="7">
                        <c:v>71.448369734953758</c:v>
                      </c:pt>
                      <c:pt idx="8">
                        <c:v>76.243338679576595</c:v>
                      </c:pt>
                      <c:pt idx="9">
                        <c:v>81.370230038676311</c:v>
                      </c:pt>
                      <c:pt idx="10">
                        <c:v>86.909031263790098</c:v>
                      </c:pt>
                      <c:pt idx="11">
                        <c:v>92.951381491416583</c:v>
                      </c:pt>
                      <c:pt idx="12">
                        <c:v>99.613673562105788</c:v>
                      </c:pt>
                      <c:pt idx="13">
                        <c:v>107.05585987576328</c:v>
                      </c:pt>
                      <c:pt idx="14">
                        <c:v>115.51217312013188</c:v>
                      </c:pt>
                      <c:pt idx="15">
                        <c:v>125.34789658956112</c:v>
                      </c:pt>
                      <c:pt idx="16">
                        <c:v>137.17861703877668</c:v>
                      </c:pt>
                      <c:pt idx="17">
                        <c:v>152.16325991690917</c:v>
                      </c:pt>
                      <c:pt idx="18">
                        <c:v>172.91066447732942</c:v>
                      </c:pt>
                      <c:pt idx="19">
                        <c:v>207.76071884633203</c:v>
                      </c:pt>
                      <c:pt idx="20">
                        <c:v>227.94013165073397</c:v>
                      </c:pt>
                      <c:pt idx="21">
                        <c:v>253.25148241660739</c:v>
                      </c:pt>
                      <c:pt idx="22">
                        <c:v>287.4899043083488</c:v>
                      </c:pt>
                      <c:pt idx="23">
                        <c:v>321.67824615206115</c:v>
                      </c:pt>
                      <c:pt idx="24">
                        <c:v>401.03982329751676</c:v>
                      </c:pt>
                      <c:pt idx="25">
                        <c:v>406.23660620923113</c:v>
                      </c:pt>
                      <c:pt idx="26">
                        <c:v>412.04641858981802</c:v>
                      </c:pt>
                      <c:pt idx="27">
                        <c:v>418.63343335439617</c:v>
                      </c:pt>
                      <c:pt idx="28">
                        <c:v>426.23810709096506</c:v>
                      </c:pt>
                      <c:pt idx="29">
                        <c:v>435.23325185644694</c:v>
                      </c:pt>
                      <c:pt idx="30">
                        <c:v>446.24348013918905</c:v>
                      </c:pt>
                      <c:pt idx="31">
                        <c:v>460.43982172124447</c:v>
                      </c:pt>
                      <c:pt idx="32">
                        <c:v>480.45154287805832</c:v>
                      </c:pt>
                      <c:pt idx="33">
                        <c:v>514.66955592028626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FF-45F0-AFC9-3F4746E987AE}"/>
                  </c:ext>
                </c:extLst>
              </c15:ser>
            </c15:filteredScatterSeries>
          </c:ext>
        </c:extLst>
      </c:scatterChart>
      <c:valAx>
        <c:axId val="284059640"/>
        <c:scaling>
          <c:orientation val="minMax"/>
          <c:max val="5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Variable réduite 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4063168"/>
        <c:crosses val="autoZero"/>
        <c:crossBetween val="midCat"/>
      </c:valAx>
      <c:valAx>
        <c:axId val="284063168"/>
        <c:scaling>
          <c:orientation val="minMax"/>
          <c:max val="230"/>
          <c:min val="-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Pluie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4059640"/>
        <c:crosses val="autoZero"/>
        <c:crossBetween val="midCat"/>
      </c:valAx>
      <c:spPr>
        <a:noFill/>
        <a:ln>
          <a:solidFill>
            <a:srgbClr val="808080"/>
          </a:solidFill>
        </a:ln>
        <a:effectLst/>
      </c:spPr>
    </c:plotArea>
    <c:legend>
      <c:legendPos val="r"/>
      <c:layout>
        <c:manualLayout>
          <c:xMode val="edge"/>
          <c:yMode val="edge"/>
          <c:x val="0.92737217127596128"/>
          <c:y val="1.0545438536861957E-2"/>
          <c:w val="6.9564876247675808E-2"/>
          <c:h val="0.98945456146313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IDF!$K$13</c:f>
              <c:strCache>
                <c:ptCount val="1"/>
                <c:pt idx="0">
                  <c:v>temps de retour =100 ans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IDF!$K$36:$K$41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4B-4822-A02A-706937C31316}"/>
            </c:ext>
          </c:extLst>
        </c:ser>
        <c:ser>
          <c:idx val="4"/>
          <c:order val="1"/>
          <c:tx>
            <c:strRef>
              <c:f>IDF!$J$13</c:f>
              <c:strCache>
                <c:ptCount val="1"/>
                <c:pt idx="0">
                  <c:v>temps de retour = 50 ans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IDF!$J$36:$J$41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4B-4822-A02A-706937C31316}"/>
            </c:ext>
          </c:extLst>
        </c:ser>
        <c:ser>
          <c:idx val="3"/>
          <c:order val="2"/>
          <c:tx>
            <c:strRef>
              <c:f>IDF!$I$13</c:f>
              <c:strCache>
                <c:ptCount val="1"/>
                <c:pt idx="0">
                  <c:v>temps de retour = 30 ans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IDF!$I$36:$I$41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4B-4822-A02A-706937C31316}"/>
            </c:ext>
          </c:extLst>
        </c:ser>
        <c:ser>
          <c:idx val="2"/>
          <c:order val="3"/>
          <c:tx>
            <c:strRef>
              <c:f>IDF!$H$13</c:f>
              <c:strCache>
                <c:ptCount val="1"/>
                <c:pt idx="0">
                  <c:v>temps de retour = 20 ans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IDF!$H$36:$H$41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4B-4822-A02A-706937C31316}"/>
            </c:ext>
          </c:extLst>
        </c:ser>
        <c:ser>
          <c:idx val="1"/>
          <c:order val="4"/>
          <c:tx>
            <c:strRef>
              <c:f>IDF!$G$13</c:f>
              <c:strCache>
                <c:ptCount val="1"/>
                <c:pt idx="0">
                  <c:v>temps de retour = 10 ans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IDF!$G$36:$G$41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B-4822-A02A-706937C31316}"/>
            </c:ext>
          </c:extLst>
        </c:ser>
        <c:ser>
          <c:idx val="0"/>
          <c:order val="5"/>
          <c:tx>
            <c:strRef>
              <c:f>IDF!$F$13</c:f>
              <c:strCache>
                <c:ptCount val="1"/>
                <c:pt idx="0">
                  <c:v>temps de retour = 5 ans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IDF!$E$36:$E$41</c:f>
              <c:strCache>
                <c:ptCount val="6"/>
                <c:pt idx="0">
                  <c:v>r1</c:v>
                </c:pt>
                <c:pt idx="1">
                  <c:v>r10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</c:strCache>
            </c:strRef>
          </c:xVal>
          <c:yVal>
            <c:numRef>
              <c:f>IDF!$F$36:$F$41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B-4822-A02A-706937C31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850767"/>
        <c:axId val="1720848367"/>
      </c:scatterChart>
      <c:valAx>
        <c:axId val="17208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 Durée</a:t>
                </a:r>
                <a:r>
                  <a:rPr lang="fr-FR" baseline="0"/>
                  <a:t> de la pluie (min)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0848367"/>
        <c:crosses val="autoZero"/>
        <c:crossBetween val="midCat"/>
      </c:valAx>
      <c:valAx>
        <c:axId val="172084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Intensité</a:t>
                </a:r>
                <a:r>
                  <a:rPr lang="fr-FR" baseline="0"/>
                  <a:t> (mm/h)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0850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181825745298171"/>
          <c:y val="0.18809004100426943"/>
          <c:w val="0.25014726742147197"/>
          <c:h val="0.27098641698492659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291597809533073E-2"/>
          <c:y val="4.8225308641975308E-2"/>
          <c:w val="0.899287716803713"/>
          <c:h val="0.8636405288375447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'IDF MONTANA'!$C$25:$C$29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'IDF MONTANA'!$D$25:$D$29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E-43EA-BBB9-9BAB19E4F6EF}"/>
            </c:ext>
          </c:extLst>
        </c:ser>
        <c:ser>
          <c:idx val="1"/>
          <c:order val="1"/>
          <c:spPr>
            <a:ln w="25400" cap="rnd">
              <a:solidFill>
                <a:srgbClr val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'IDF MONTANA'!$C$25:$C$29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'IDF MONTANA'!$E$25:$E$29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8E-43EA-BBB9-9BAB19E4F6E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'IDF MONTANA'!$C$25:$C$29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'IDF MONTANA'!$F$25:$F$29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8E-43EA-BBB9-9BAB19E4F6EF}"/>
            </c:ext>
          </c:extLst>
        </c:ser>
        <c:ser>
          <c:idx val="3"/>
          <c:order val="3"/>
          <c:spPr>
            <a:ln w="25400" cap="rnd">
              <a:solidFill>
                <a:srgbClr val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'IDF MONTANA'!$C$25:$C$29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'IDF MONTANA'!$G$25:$G$29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8E-43EA-BBB9-9BAB19E4F6E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noFill/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softEdge rad="0"/>
              </a:effectLst>
            </c:spPr>
          </c:marker>
          <c:xVal>
            <c:numRef>
              <c:f>'IDF MONTANA'!$C$25:$C$29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'IDF MONTANA'!$H$25:$H$29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8E-43EA-BBB9-9BAB19E4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060424"/>
        <c:axId val="284060816"/>
      </c:scatterChart>
      <c:valAx>
        <c:axId val="28406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ln(t)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4060816"/>
        <c:crosses val="autoZero"/>
        <c:crossBetween val="midCat"/>
      </c:valAx>
      <c:valAx>
        <c:axId val="28406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ln(i)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406042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AA3EA1-21CC-4BEF-87FB-CED89B4560E6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163455</xdr:colOff>
      <xdr:row>0</xdr:row>
      <xdr:rowOff>85313</xdr:rowOff>
    </xdr:from>
    <xdr:to>
      <xdr:col>31</xdr:col>
      <xdr:colOff>493059</xdr:colOff>
      <xdr:row>55</xdr:row>
      <xdr:rowOff>59764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221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213360</xdr:colOff>
          <xdr:row>39</xdr:row>
          <xdr:rowOff>121920</xdr:rowOff>
        </xdr:from>
        <xdr:to>
          <xdr:col>3</xdr:col>
          <xdr:colOff>822960</xdr:colOff>
          <xdr:row>42</xdr:row>
          <xdr:rowOff>22860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6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449580</xdr:colOff>
      <xdr:row>10</xdr:row>
      <xdr:rowOff>30480</xdr:rowOff>
    </xdr:from>
    <xdr:to>
      <xdr:col>19</xdr:col>
      <xdr:colOff>141514</xdr:colOff>
      <xdr:row>38</xdr:row>
      <xdr:rowOff>87086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AB95-8D07-43F7-A1EA-B4E370D7B905}">
  <dimension ref="A1:R132"/>
  <sheetViews>
    <sheetView zoomScale="60" zoomScaleNormal="60" workbookViewId="0">
      <selection activeCell="F7" sqref="F7:P26"/>
    </sheetView>
  </sheetViews>
  <sheetFormatPr baseColWidth="10" defaultRowHeight="14.4" x14ac:dyDescent="0.3"/>
  <cols>
    <col min="5" max="5" width="11.5546875" customWidth="1"/>
    <col min="6" max="6" width="14.33203125" customWidth="1"/>
    <col min="8" max="8" width="15" customWidth="1"/>
    <col min="9" max="9" width="11.5546875" customWidth="1"/>
    <col min="10" max="10" width="15" customWidth="1"/>
    <col min="11" max="11" width="11.5546875" customWidth="1"/>
    <col min="12" max="12" width="16.5546875" customWidth="1"/>
    <col min="13" max="13" width="11.5546875" customWidth="1"/>
    <col min="14" max="14" width="16.33203125" customWidth="1"/>
    <col min="15" max="15" width="11.5546875" customWidth="1"/>
    <col min="16" max="16" width="15.109375" customWidth="1"/>
  </cols>
  <sheetData>
    <row r="1" spans="1:18" ht="15" thickBot="1" x14ac:dyDescent="0.35">
      <c r="D1" s="83" t="s">
        <v>57</v>
      </c>
      <c r="E1" s="83"/>
      <c r="F1" s="83">
        <v>5</v>
      </c>
      <c r="G1" s="83"/>
      <c r="H1" s="83">
        <v>15</v>
      </c>
      <c r="I1" s="83"/>
      <c r="J1" s="83">
        <v>30</v>
      </c>
      <c r="K1" s="83"/>
      <c r="L1" s="83">
        <v>60</v>
      </c>
      <c r="M1" s="83"/>
      <c r="N1" s="83">
        <v>180</v>
      </c>
      <c r="O1" s="83"/>
      <c r="P1" s="83">
        <v>360</v>
      </c>
    </row>
    <row r="2" spans="1:18" x14ac:dyDescent="0.3">
      <c r="D2" s="84" t="s">
        <v>58</v>
      </c>
      <c r="E2" s="76" t="s">
        <v>63</v>
      </c>
      <c r="F2" s="77"/>
      <c r="G2" s="76" t="s">
        <v>65</v>
      </c>
      <c r="H2" s="77"/>
      <c r="I2" s="76" t="s">
        <v>64</v>
      </c>
      <c r="J2" s="77"/>
      <c r="K2" s="76" t="s">
        <v>66</v>
      </c>
      <c r="L2" s="77"/>
      <c r="M2" s="76" t="s">
        <v>67</v>
      </c>
      <c r="N2" s="77"/>
      <c r="O2" s="76" t="s">
        <v>68</v>
      </c>
      <c r="P2" s="77"/>
      <c r="Q2" s="2"/>
      <c r="R2" s="8"/>
    </row>
    <row r="3" spans="1:18" x14ac:dyDescent="0.3">
      <c r="E3" s="21"/>
      <c r="G3" s="21"/>
      <c r="I3" s="21"/>
      <c r="K3" s="21"/>
      <c r="M3" s="21"/>
      <c r="O3" s="21"/>
    </row>
    <row r="4" spans="1:18" x14ac:dyDescent="0.3">
      <c r="E4" s="59" t="s">
        <v>8</v>
      </c>
      <c r="F4" s="4" t="s">
        <v>51</v>
      </c>
      <c r="G4" s="59" t="s">
        <v>8</v>
      </c>
      <c r="H4" s="4" t="s">
        <v>51</v>
      </c>
      <c r="I4" s="59" t="s">
        <v>8</v>
      </c>
      <c r="J4" s="4" t="s">
        <v>51</v>
      </c>
      <c r="K4" s="59" t="s">
        <v>8</v>
      </c>
      <c r="L4" s="4" t="s">
        <v>51</v>
      </c>
      <c r="M4" s="59" t="s">
        <v>8</v>
      </c>
      <c r="N4" s="4" t="s">
        <v>51</v>
      </c>
      <c r="O4" s="59" t="s">
        <v>8</v>
      </c>
      <c r="P4" s="4" t="s">
        <v>51</v>
      </c>
      <c r="Q4" s="5"/>
      <c r="R4" s="4"/>
    </row>
    <row r="5" spans="1:18" x14ac:dyDescent="0.3">
      <c r="E5" s="60"/>
      <c r="F5" s="1" t="s">
        <v>0</v>
      </c>
      <c r="G5" s="60"/>
      <c r="H5" s="1" t="s">
        <v>0</v>
      </c>
      <c r="I5" s="60"/>
      <c r="J5" s="1" t="s">
        <v>0</v>
      </c>
      <c r="K5" s="60"/>
      <c r="L5" s="1" t="s">
        <v>0</v>
      </c>
      <c r="M5" s="60"/>
      <c r="N5" s="1" t="s">
        <v>0</v>
      </c>
      <c r="O5" s="60"/>
      <c r="P5" s="1" t="s">
        <v>0</v>
      </c>
      <c r="Q5" s="1"/>
      <c r="R5" s="1"/>
    </row>
    <row r="6" spans="1:18" x14ac:dyDescent="0.3">
      <c r="A6" s="6"/>
      <c r="B6" s="44"/>
      <c r="E6" s="21"/>
      <c r="G6" s="21"/>
      <c r="I6" s="21"/>
      <c r="K6" s="21"/>
      <c r="M6" s="21"/>
      <c r="O6" s="21"/>
    </row>
    <row r="7" spans="1:18" ht="15" customHeight="1" x14ac:dyDescent="0.3">
      <c r="A7" s="6"/>
      <c r="B7" s="44"/>
      <c r="D7" s="85"/>
      <c r="E7">
        <v>1995</v>
      </c>
      <c r="F7">
        <v>48.113587349653201</v>
      </c>
      <c r="G7">
        <v>1995</v>
      </c>
      <c r="H7">
        <v>158.386771157384</v>
      </c>
      <c r="I7">
        <v>1995</v>
      </c>
      <c r="J7">
        <v>53.1774655357003</v>
      </c>
      <c r="K7">
        <v>1995</v>
      </c>
      <c r="L7">
        <v>35.3426618501544</v>
      </c>
      <c r="M7">
        <v>1995</v>
      </c>
      <c r="N7">
        <v>51.343814246356501</v>
      </c>
      <c r="O7">
        <v>1995</v>
      </c>
      <c r="P7">
        <v>67.8871966525912</v>
      </c>
      <c r="Q7" s="1"/>
    </row>
    <row r="8" spans="1:18" x14ac:dyDescent="0.3">
      <c r="A8" s="6"/>
      <c r="B8" s="44"/>
      <c r="D8" s="85"/>
      <c r="E8">
        <v>1996</v>
      </c>
      <c r="F8">
        <v>55.202283561229699</v>
      </c>
      <c r="G8">
        <v>1996</v>
      </c>
      <c r="H8">
        <v>45.677841156721101</v>
      </c>
      <c r="I8">
        <v>1996</v>
      </c>
      <c r="J8">
        <v>48.409487977623897</v>
      </c>
      <c r="K8">
        <v>1996</v>
      </c>
      <c r="L8">
        <v>67.232443615794196</v>
      </c>
      <c r="M8">
        <v>1996</v>
      </c>
      <c r="N8">
        <v>69.970812387764497</v>
      </c>
      <c r="O8">
        <v>1996</v>
      </c>
      <c r="P8">
        <v>64.492448419332504</v>
      </c>
      <c r="Q8" s="1"/>
    </row>
    <row r="9" spans="1:18" ht="15" customHeight="1" x14ac:dyDescent="0.3">
      <c r="A9" s="6"/>
      <c r="B9" s="44"/>
      <c r="D9" s="85"/>
      <c r="E9">
        <v>1997</v>
      </c>
      <c r="F9">
        <v>85.479384474456296</v>
      </c>
      <c r="G9">
        <v>1997</v>
      </c>
      <c r="H9">
        <v>55.149308592081098</v>
      </c>
      <c r="I9">
        <v>1997</v>
      </c>
      <c r="J9">
        <v>60.713037215173301</v>
      </c>
      <c r="K9">
        <v>1997</v>
      </c>
      <c r="L9">
        <v>63.557695895433397</v>
      </c>
      <c r="M9">
        <v>1997</v>
      </c>
      <c r="N9">
        <v>109.63914982974499</v>
      </c>
      <c r="O9">
        <v>1997</v>
      </c>
      <c r="P9">
        <v>48.779421094805002</v>
      </c>
      <c r="Q9" s="1"/>
    </row>
    <row r="10" spans="1:18" x14ac:dyDescent="0.3">
      <c r="A10" s="6"/>
      <c r="B10" s="44"/>
      <c r="D10" s="85"/>
      <c r="E10">
        <v>1998</v>
      </c>
      <c r="F10">
        <v>52.0278409123421</v>
      </c>
      <c r="G10">
        <v>1998</v>
      </c>
      <c r="H10">
        <v>44.5421834662557</v>
      </c>
      <c r="I10">
        <v>1998</v>
      </c>
      <c r="J10">
        <v>48.725679181516199</v>
      </c>
      <c r="K10">
        <v>1998</v>
      </c>
      <c r="L10">
        <v>68.347725234925704</v>
      </c>
      <c r="M10">
        <v>1998</v>
      </c>
      <c r="N10">
        <v>50.365691408514998</v>
      </c>
      <c r="O10">
        <v>1998</v>
      </c>
      <c r="P10">
        <v>31.750242188572901</v>
      </c>
      <c r="Q10" s="1"/>
    </row>
    <row r="11" spans="1:18" x14ac:dyDescent="0.3">
      <c r="A11" s="6"/>
      <c r="B11" s="44"/>
      <c r="D11" s="85"/>
      <c r="E11">
        <v>1999</v>
      </c>
      <c r="F11">
        <v>71.921180002391296</v>
      </c>
      <c r="G11">
        <v>1999</v>
      </c>
      <c r="H11">
        <v>47.693769671022899</v>
      </c>
      <c r="I11">
        <v>1999</v>
      </c>
      <c r="J11">
        <v>58.509510643780203</v>
      </c>
      <c r="K11">
        <v>1999</v>
      </c>
      <c r="L11">
        <v>53.175627887249</v>
      </c>
      <c r="M11">
        <v>1999</v>
      </c>
      <c r="N11">
        <v>37.605600189417601</v>
      </c>
      <c r="O11">
        <v>1999</v>
      </c>
      <c r="P11">
        <v>62.855808734893799</v>
      </c>
      <c r="Q11" s="1"/>
    </row>
    <row r="12" spans="1:18" x14ac:dyDescent="0.3">
      <c r="A12" s="6"/>
      <c r="B12" s="44"/>
      <c r="D12" s="85"/>
      <c r="E12">
        <v>2000</v>
      </c>
      <c r="F12">
        <v>42.927400432527101</v>
      </c>
      <c r="G12">
        <v>2000</v>
      </c>
      <c r="H12">
        <v>31.716583650559201</v>
      </c>
      <c r="I12">
        <v>2000</v>
      </c>
      <c r="J12">
        <v>75.779616124927998</v>
      </c>
      <c r="K12">
        <v>2000</v>
      </c>
      <c r="L12">
        <v>174.135995730758</v>
      </c>
      <c r="M12">
        <v>2000</v>
      </c>
      <c r="N12">
        <v>124.620018079877</v>
      </c>
      <c r="O12">
        <v>2000</v>
      </c>
      <c r="P12">
        <v>46.860200464725501</v>
      </c>
      <c r="Q12" s="1"/>
    </row>
    <row r="13" spans="1:18" x14ac:dyDescent="0.3">
      <c r="A13" s="6"/>
      <c r="B13" s="44"/>
      <c r="D13" s="85"/>
      <c r="E13">
        <v>2001</v>
      </c>
      <c r="F13">
        <v>32.869200613349697</v>
      </c>
      <c r="G13">
        <v>2001</v>
      </c>
      <c r="H13">
        <v>130.40715627372299</v>
      </c>
      <c r="I13">
        <v>2001</v>
      </c>
      <c r="J13">
        <v>46.904319617897301</v>
      </c>
      <c r="K13">
        <v>2001</v>
      </c>
      <c r="L13">
        <v>49.235622100531998</v>
      </c>
      <c r="M13">
        <v>2001</v>
      </c>
      <c r="N13">
        <v>49.904619175940802</v>
      </c>
      <c r="O13">
        <v>2001</v>
      </c>
      <c r="P13">
        <v>47.693769671022899</v>
      </c>
      <c r="Q13" s="1"/>
    </row>
    <row r="14" spans="1:18" x14ac:dyDescent="0.3">
      <c r="A14" s="6"/>
      <c r="B14" s="44"/>
      <c r="D14" s="85"/>
      <c r="E14">
        <v>2002</v>
      </c>
      <c r="F14">
        <v>48.386913165450103</v>
      </c>
      <c r="G14">
        <v>2002</v>
      </c>
      <c r="H14">
        <v>53.529602028429501</v>
      </c>
      <c r="I14">
        <v>2002</v>
      </c>
      <c r="J14">
        <v>46.322729028761401</v>
      </c>
      <c r="K14">
        <v>2002</v>
      </c>
      <c r="L14">
        <v>64.341592267155605</v>
      </c>
      <c r="M14">
        <v>2002</v>
      </c>
      <c r="N14">
        <v>180.25959156453601</v>
      </c>
      <c r="O14">
        <v>2002</v>
      </c>
      <c r="P14">
        <v>130.40715627372299</v>
      </c>
      <c r="Q14" s="1"/>
    </row>
    <row r="15" spans="1:18" x14ac:dyDescent="0.3">
      <c r="A15" s="6"/>
      <c r="B15" s="44"/>
      <c r="D15" s="85"/>
      <c r="E15">
        <v>2003</v>
      </c>
      <c r="F15">
        <v>73.686024583876105</v>
      </c>
      <c r="G15">
        <v>2003</v>
      </c>
      <c r="H15">
        <v>50.334665626287503</v>
      </c>
      <c r="I15">
        <v>2003</v>
      </c>
      <c r="J15">
        <v>42.571262251585701</v>
      </c>
      <c r="K15">
        <v>2003</v>
      </c>
      <c r="L15">
        <v>122.455571964383</v>
      </c>
      <c r="M15">
        <v>2003</v>
      </c>
      <c r="N15">
        <v>42.456313669681499</v>
      </c>
      <c r="O15">
        <v>2003</v>
      </c>
      <c r="P15">
        <v>74.596848450601101</v>
      </c>
      <c r="Q15" s="1"/>
    </row>
    <row r="16" spans="1:18" x14ac:dyDescent="0.3">
      <c r="A16" s="6"/>
      <c r="B16" s="44"/>
      <c r="D16" s="85"/>
      <c r="E16">
        <v>2004</v>
      </c>
      <c r="F16">
        <v>79.012511484324904</v>
      </c>
      <c r="G16">
        <v>2004</v>
      </c>
      <c r="H16">
        <v>130.14036029577301</v>
      </c>
      <c r="I16">
        <v>2004</v>
      </c>
      <c r="J16">
        <v>130.32176345586799</v>
      </c>
      <c r="K16">
        <v>2004</v>
      </c>
      <c r="L16">
        <v>79.541657678782897</v>
      </c>
      <c r="M16">
        <v>2004</v>
      </c>
      <c r="N16">
        <v>54.546706750989003</v>
      </c>
      <c r="O16">
        <v>2004</v>
      </c>
      <c r="P16">
        <v>180.25959156453601</v>
      </c>
      <c r="Q16" s="1"/>
    </row>
    <row r="17" spans="1:17" x14ac:dyDescent="0.3">
      <c r="A17" s="6"/>
      <c r="B17" s="44"/>
      <c r="D17" s="85"/>
      <c r="E17">
        <v>2005</v>
      </c>
      <c r="F17">
        <v>145.24440430104701</v>
      </c>
      <c r="G17">
        <v>2005</v>
      </c>
      <c r="H17">
        <v>45.203562900423996</v>
      </c>
      <c r="I17">
        <v>2005</v>
      </c>
      <c r="J17">
        <v>53.3009943366051</v>
      </c>
      <c r="K17">
        <v>2005</v>
      </c>
      <c r="L17">
        <v>108.046071566641</v>
      </c>
      <c r="M17">
        <v>2005</v>
      </c>
      <c r="N17">
        <v>69.1698601841927</v>
      </c>
      <c r="O17">
        <v>2005</v>
      </c>
      <c r="P17">
        <v>31.834220811724698</v>
      </c>
      <c r="Q17" s="1"/>
    </row>
    <row r="18" spans="1:17" x14ac:dyDescent="0.3">
      <c r="A18" s="6"/>
      <c r="B18" s="44"/>
      <c r="D18" s="85"/>
      <c r="E18">
        <v>2006</v>
      </c>
      <c r="F18">
        <v>68.347725234925704</v>
      </c>
      <c r="G18">
        <v>2006</v>
      </c>
      <c r="H18">
        <v>61.421307362616098</v>
      </c>
      <c r="I18">
        <v>2006</v>
      </c>
      <c r="J18">
        <v>65.493966825306401</v>
      </c>
      <c r="K18">
        <v>2006</v>
      </c>
      <c r="L18">
        <v>46.103955321013899</v>
      </c>
      <c r="M18">
        <v>2006</v>
      </c>
      <c r="N18">
        <v>116.91310454160001</v>
      </c>
      <c r="O18">
        <v>2006</v>
      </c>
      <c r="P18">
        <v>71.749006323516397</v>
      </c>
      <c r="Q18" s="1"/>
    </row>
    <row r="19" spans="1:17" x14ac:dyDescent="0.3">
      <c r="A19" s="6"/>
      <c r="B19" s="44"/>
      <c r="D19" s="85"/>
      <c r="E19">
        <v>2007</v>
      </c>
      <c r="F19">
        <v>50.666394867003</v>
      </c>
      <c r="G19">
        <v>2007</v>
      </c>
      <c r="H19">
        <v>71.707472652196898</v>
      </c>
      <c r="I19">
        <v>2007</v>
      </c>
      <c r="J19">
        <v>39.533421155065298</v>
      </c>
      <c r="K19">
        <v>2007</v>
      </c>
      <c r="L19">
        <v>57.815446816384799</v>
      </c>
      <c r="M19">
        <v>2007</v>
      </c>
      <c r="N19">
        <v>34.6136228553951</v>
      </c>
      <c r="O19">
        <v>2007</v>
      </c>
      <c r="P19">
        <v>60.656312517821803</v>
      </c>
      <c r="Q19" s="1"/>
    </row>
    <row r="20" spans="1:17" ht="15" customHeight="1" x14ac:dyDescent="0.3">
      <c r="A20" s="6"/>
      <c r="B20" s="44"/>
      <c r="D20" s="85"/>
      <c r="E20">
        <v>2008</v>
      </c>
      <c r="F20">
        <v>53.786801397800403</v>
      </c>
      <c r="G20">
        <v>2008</v>
      </c>
      <c r="H20">
        <v>84.521324895322294</v>
      </c>
      <c r="I20">
        <v>2008</v>
      </c>
      <c r="J20">
        <v>108.501177728176</v>
      </c>
      <c r="K20">
        <v>2008</v>
      </c>
      <c r="L20">
        <v>32.911837678402698</v>
      </c>
      <c r="M20">
        <v>2008</v>
      </c>
      <c r="N20">
        <v>138.47743034362799</v>
      </c>
      <c r="O20">
        <v>2008</v>
      </c>
      <c r="P20">
        <v>42.103695888072302</v>
      </c>
      <c r="Q20" s="1"/>
    </row>
    <row r="21" spans="1:17" x14ac:dyDescent="0.3">
      <c r="A21" s="6"/>
      <c r="B21" s="44"/>
      <c r="D21" s="85"/>
      <c r="E21">
        <v>2009</v>
      </c>
      <c r="F21">
        <v>26.361986864358201</v>
      </c>
      <c r="G21">
        <v>2009</v>
      </c>
      <c r="H21">
        <v>53.9384481310844</v>
      </c>
      <c r="I21">
        <v>2009</v>
      </c>
      <c r="J21">
        <v>46.428177561610902</v>
      </c>
      <c r="K21">
        <v>2009</v>
      </c>
      <c r="L21">
        <v>39.488640166819103</v>
      </c>
      <c r="M21">
        <v>2009</v>
      </c>
      <c r="N21">
        <v>73.585398495197296</v>
      </c>
      <c r="O21">
        <v>2009</v>
      </c>
      <c r="P21">
        <v>52.934497632086298</v>
      </c>
      <c r="Q21" s="1"/>
    </row>
    <row r="22" spans="1:17" x14ac:dyDescent="0.3">
      <c r="A22" s="6"/>
      <c r="B22" s="44"/>
      <c r="D22" s="85"/>
      <c r="E22">
        <v>2010</v>
      </c>
      <c r="F22">
        <v>130.40715627372299</v>
      </c>
      <c r="G22">
        <v>2010</v>
      </c>
      <c r="H22">
        <v>42.476168721914298</v>
      </c>
      <c r="I22">
        <v>2010</v>
      </c>
      <c r="J22">
        <v>130.40715627372299</v>
      </c>
      <c r="K22">
        <v>2010</v>
      </c>
      <c r="L22">
        <v>58.036922179162502</v>
      </c>
      <c r="M22">
        <v>2010</v>
      </c>
      <c r="N22">
        <v>55.723960474133499</v>
      </c>
      <c r="O22">
        <v>2010</v>
      </c>
      <c r="P22">
        <v>172.71019175648701</v>
      </c>
      <c r="Q22" s="1"/>
    </row>
    <row r="23" spans="1:17" x14ac:dyDescent="0.3">
      <c r="A23" s="6"/>
      <c r="B23" s="44"/>
      <c r="D23" s="85"/>
      <c r="E23">
        <v>2011</v>
      </c>
      <c r="F23">
        <v>115.31745940446901</v>
      </c>
      <c r="G23">
        <v>2011</v>
      </c>
      <c r="H23">
        <v>58.1866316869855</v>
      </c>
      <c r="I23">
        <v>2011</v>
      </c>
      <c r="J23">
        <v>87.193965800106497</v>
      </c>
      <c r="K23">
        <v>2011</v>
      </c>
      <c r="L23">
        <v>130.40715627372299</v>
      </c>
      <c r="M23">
        <v>2011</v>
      </c>
      <c r="N23">
        <v>130.40715627372299</v>
      </c>
      <c r="O23">
        <v>2011</v>
      </c>
      <c r="P23">
        <v>88.316309340298204</v>
      </c>
      <c r="Q23" s="1"/>
    </row>
    <row r="24" spans="1:17" x14ac:dyDescent="0.3">
      <c r="D24" s="85"/>
      <c r="E24">
        <v>2012</v>
      </c>
      <c r="F24">
        <v>47.048988416790998</v>
      </c>
      <c r="G24">
        <v>2012</v>
      </c>
      <c r="H24">
        <v>180.25959156453601</v>
      </c>
      <c r="I24">
        <v>2012</v>
      </c>
      <c r="J24">
        <v>42.932034786790602</v>
      </c>
      <c r="K24">
        <v>2012</v>
      </c>
      <c r="L24">
        <v>47.186495214700699</v>
      </c>
      <c r="M24">
        <v>2012</v>
      </c>
      <c r="N24">
        <v>46.757558695972001</v>
      </c>
      <c r="O24">
        <v>2012</v>
      </c>
      <c r="P24">
        <v>128.77851895987999</v>
      </c>
      <c r="Q24" s="1"/>
    </row>
    <row r="25" spans="1:17" x14ac:dyDescent="0.3">
      <c r="D25" s="85"/>
      <c r="E25">
        <v>2013</v>
      </c>
      <c r="F25">
        <v>70.875375978648705</v>
      </c>
      <c r="G25">
        <v>2013</v>
      </c>
      <c r="H25">
        <v>58.467666171491203</v>
      </c>
      <c r="I25">
        <v>2013</v>
      </c>
      <c r="J25">
        <v>68.347725234925704</v>
      </c>
      <c r="K25">
        <v>2013</v>
      </c>
      <c r="L25">
        <v>48.560494501143701</v>
      </c>
      <c r="M25">
        <v>2013</v>
      </c>
      <c r="N25">
        <v>65.458560660481496</v>
      </c>
      <c r="O25">
        <v>2013</v>
      </c>
      <c r="P25">
        <v>54.546706750989003</v>
      </c>
    </row>
    <row r="26" spans="1:17" x14ac:dyDescent="0.3">
      <c r="D26" s="85"/>
      <c r="E26">
        <v>2014</v>
      </c>
      <c r="F26">
        <v>50.704897977411697</v>
      </c>
      <c r="G26">
        <v>2014</v>
      </c>
      <c r="H26">
        <v>81.782528646290302</v>
      </c>
      <c r="I26">
        <v>2014</v>
      </c>
      <c r="J26">
        <v>148.15862104296701</v>
      </c>
      <c r="K26">
        <v>2014</v>
      </c>
      <c r="L26">
        <v>178.83378759026499</v>
      </c>
      <c r="M26">
        <v>2014</v>
      </c>
      <c r="N26">
        <v>44.353999011218498</v>
      </c>
      <c r="O26">
        <v>2014</v>
      </c>
      <c r="P26">
        <v>64.768307916820007</v>
      </c>
    </row>
    <row r="27" spans="1:17" x14ac:dyDescent="0.3">
      <c r="D27" s="85"/>
      <c r="E27" s="70"/>
      <c r="F27" s="41"/>
      <c r="L27" s="32"/>
      <c r="N27" s="32"/>
    </row>
    <row r="28" spans="1:17" x14ac:dyDescent="0.3">
      <c r="D28" s="85"/>
      <c r="E28" s="70"/>
      <c r="F28" s="41"/>
    </row>
    <row r="29" spans="1:17" x14ac:dyDescent="0.3">
      <c r="D29" s="85"/>
      <c r="E29" s="70"/>
      <c r="F29" s="71"/>
      <c r="H29" s="71"/>
      <c r="L29" s="32"/>
    </row>
    <row r="30" spans="1:17" x14ac:dyDescent="0.3">
      <c r="D30" s="85"/>
      <c r="E30" s="70"/>
    </row>
    <row r="31" spans="1:17" x14ac:dyDescent="0.3">
      <c r="D31" s="85"/>
      <c r="E31" s="70"/>
      <c r="F31" s="71"/>
    </row>
    <row r="32" spans="1:17" x14ac:dyDescent="0.3">
      <c r="D32" s="85"/>
      <c r="E32" s="70"/>
      <c r="F32" s="41"/>
      <c r="H32" s="71"/>
      <c r="J32" s="41"/>
    </row>
    <row r="33" spans="4:16" x14ac:dyDescent="0.3">
      <c r="D33" s="85"/>
      <c r="E33" s="70"/>
      <c r="F33" s="71"/>
    </row>
    <row r="34" spans="4:16" x14ac:dyDescent="0.3">
      <c r="D34" s="85"/>
      <c r="E34" s="70"/>
      <c r="F34" s="41"/>
    </row>
    <row r="35" spans="4:16" x14ac:dyDescent="0.3">
      <c r="D35" s="85"/>
      <c r="E35" s="70"/>
      <c r="J35" s="71"/>
    </row>
    <row r="36" spans="4:16" ht="15" customHeight="1" x14ac:dyDescent="0.3">
      <c r="D36" s="85"/>
      <c r="E36" s="70"/>
      <c r="F36" s="71"/>
      <c r="P36" s="32"/>
    </row>
    <row r="37" spans="4:16" x14ac:dyDescent="0.3">
      <c r="D37" s="85"/>
      <c r="E37" s="70"/>
      <c r="F37" s="71"/>
      <c r="N37" s="32"/>
    </row>
    <row r="38" spans="4:16" x14ac:dyDescent="0.3">
      <c r="D38" s="85"/>
      <c r="E38" s="70"/>
      <c r="F38" s="41"/>
    </row>
    <row r="39" spans="4:16" x14ac:dyDescent="0.3">
      <c r="D39" s="85"/>
      <c r="E39" s="70"/>
      <c r="F39" s="71"/>
      <c r="J39" s="71"/>
    </row>
    <row r="40" spans="4:16" x14ac:dyDescent="0.3">
      <c r="D40" s="85"/>
      <c r="E40" s="70"/>
      <c r="H40" s="71"/>
      <c r="L40" s="32"/>
      <c r="N40" s="32"/>
    </row>
    <row r="41" spans="4:16" x14ac:dyDescent="0.3">
      <c r="D41" s="85"/>
      <c r="E41" s="70"/>
      <c r="F41" s="71"/>
    </row>
    <row r="42" spans="4:16" x14ac:dyDescent="0.3">
      <c r="D42" s="85"/>
      <c r="E42" s="70"/>
    </row>
    <row r="43" spans="4:16" x14ac:dyDescent="0.3">
      <c r="D43" s="85"/>
      <c r="E43" s="70"/>
      <c r="N43" s="32"/>
    </row>
    <row r="44" spans="4:16" x14ac:dyDescent="0.3">
      <c r="D44" s="85"/>
      <c r="E44" s="70"/>
      <c r="F44" s="71"/>
      <c r="H44" s="71"/>
    </row>
    <row r="45" spans="4:16" x14ac:dyDescent="0.3">
      <c r="D45" s="85"/>
      <c r="E45" s="70"/>
      <c r="F45" s="41"/>
    </row>
    <row r="46" spans="4:16" x14ac:dyDescent="0.3">
      <c r="D46" s="85"/>
      <c r="E46" s="70"/>
    </row>
    <row r="47" spans="4:16" x14ac:dyDescent="0.3">
      <c r="D47" s="85"/>
      <c r="E47" s="70"/>
      <c r="F47" s="71"/>
      <c r="L47" s="32"/>
    </row>
    <row r="48" spans="4:16" x14ac:dyDescent="0.3">
      <c r="D48" s="85"/>
      <c r="E48" s="70"/>
      <c r="F48" s="71"/>
    </row>
    <row r="49" spans="4:16" x14ac:dyDescent="0.3">
      <c r="D49" s="85"/>
      <c r="E49" s="70"/>
      <c r="F49" s="41"/>
      <c r="P49" s="32"/>
    </row>
    <row r="50" spans="4:16" x14ac:dyDescent="0.3">
      <c r="D50" s="85"/>
      <c r="E50" s="70"/>
      <c r="F50" s="41"/>
    </row>
    <row r="51" spans="4:16" x14ac:dyDescent="0.3">
      <c r="D51" s="85"/>
      <c r="E51" s="70"/>
      <c r="F51" s="71"/>
      <c r="G51" s="1"/>
      <c r="H51" s="41"/>
      <c r="I51" s="1"/>
      <c r="J51" s="71"/>
      <c r="K51" s="1"/>
      <c r="M51" s="1"/>
      <c r="O51" s="1"/>
    </row>
    <row r="52" spans="4:16" x14ac:dyDescent="0.3">
      <c r="D52" s="85"/>
      <c r="E52" s="70"/>
      <c r="F52" s="41"/>
      <c r="G52" s="1"/>
      <c r="I52" s="1"/>
      <c r="K52" s="1"/>
      <c r="M52" s="1"/>
      <c r="O52" s="1"/>
      <c r="P52" s="32"/>
    </row>
    <row r="53" spans="4:16" x14ac:dyDescent="0.3">
      <c r="D53" s="85"/>
      <c r="E53" s="70"/>
      <c r="F53" s="41"/>
      <c r="G53" s="1"/>
      <c r="I53" s="1"/>
      <c r="K53" s="1"/>
      <c r="M53" s="1"/>
      <c r="O53" s="1"/>
    </row>
    <row r="54" spans="4:16" x14ac:dyDescent="0.3">
      <c r="D54" s="85"/>
      <c r="E54" s="70"/>
      <c r="G54" s="1"/>
      <c r="I54" s="1"/>
      <c r="K54" s="1"/>
      <c r="M54" s="1"/>
      <c r="O54" s="1"/>
    </row>
    <row r="55" spans="4:16" x14ac:dyDescent="0.3">
      <c r="D55" s="85"/>
      <c r="E55" s="70"/>
      <c r="F55" s="41"/>
      <c r="J55" s="71"/>
      <c r="N55" s="32"/>
      <c r="P55" s="32"/>
    </row>
    <row r="56" spans="4:16" ht="15" customHeight="1" x14ac:dyDescent="0.3">
      <c r="D56" s="85"/>
      <c r="E56" s="70"/>
      <c r="F56" s="41"/>
      <c r="N56" s="32"/>
    </row>
    <row r="57" spans="4:16" ht="15" customHeight="1" x14ac:dyDescent="0.3">
      <c r="D57" s="85"/>
      <c r="E57" s="70"/>
      <c r="F57" s="71"/>
    </row>
    <row r="58" spans="4:16" x14ac:dyDescent="0.3">
      <c r="D58" s="85"/>
      <c r="E58" s="70"/>
    </row>
    <row r="59" spans="4:16" x14ac:dyDescent="0.3">
      <c r="D59" s="85"/>
      <c r="E59" s="70"/>
      <c r="F59" s="71"/>
    </row>
    <row r="60" spans="4:16" x14ac:dyDescent="0.3">
      <c r="D60" s="85"/>
      <c r="E60" s="70"/>
      <c r="F60" s="71"/>
      <c r="P60" s="32"/>
    </row>
    <row r="61" spans="4:16" x14ac:dyDescent="0.3">
      <c r="D61" s="85"/>
      <c r="E61" s="70"/>
    </row>
    <row r="62" spans="4:16" x14ac:dyDescent="0.3">
      <c r="D62" s="85"/>
      <c r="E62" s="70"/>
      <c r="F62" s="41"/>
      <c r="N62" s="32"/>
    </row>
    <row r="63" spans="4:16" x14ac:dyDescent="0.3">
      <c r="D63" s="85"/>
      <c r="E63" s="70"/>
      <c r="F63" s="71"/>
    </row>
    <row r="64" spans="4:16" x14ac:dyDescent="0.3">
      <c r="D64" s="85"/>
      <c r="E64" s="70"/>
      <c r="F64" s="41"/>
      <c r="J64" s="41"/>
      <c r="N64" s="32"/>
    </row>
    <row r="65" spans="4:16" x14ac:dyDescent="0.3">
      <c r="D65" s="85"/>
      <c r="E65" s="70"/>
      <c r="F65" s="41"/>
    </row>
    <row r="66" spans="4:16" ht="15" customHeight="1" x14ac:dyDescent="0.3">
      <c r="D66" s="85"/>
      <c r="E66" s="70"/>
    </row>
    <row r="67" spans="4:16" x14ac:dyDescent="0.3">
      <c r="D67" s="85"/>
      <c r="E67" s="70"/>
      <c r="F67" s="41"/>
    </row>
    <row r="68" spans="4:16" x14ac:dyDescent="0.3">
      <c r="D68" s="85"/>
      <c r="E68" s="70"/>
      <c r="F68" s="71"/>
      <c r="P68" s="32"/>
    </row>
    <row r="69" spans="4:16" x14ac:dyDescent="0.3">
      <c r="D69" s="85"/>
      <c r="E69" s="70"/>
      <c r="F69" s="71"/>
      <c r="P69" s="32"/>
    </row>
    <row r="70" spans="4:16" x14ac:dyDescent="0.3">
      <c r="D70" s="85"/>
      <c r="E70" s="70"/>
      <c r="F70" s="41"/>
    </row>
    <row r="71" spans="4:16" x14ac:dyDescent="0.3">
      <c r="D71" s="85"/>
      <c r="E71" s="70"/>
      <c r="H71" s="71"/>
    </row>
    <row r="72" spans="4:16" x14ac:dyDescent="0.3">
      <c r="D72" s="85"/>
      <c r="E72" s="70"/>
      <c r="F72" s="71"/>
      <c r="L72" s="32"/>
    </row>
    <row r="73" spans="4:16" x14ac:dyDescent="0.3">
      <c r="D73" s="85"/>
      <c r="E73" s="70"/>
      <c r="F73" s="41"/>
      <c r="H73" s="41"/>
    </row>
    <row r="74" spans="4:16" x14ac:dyDescent="0.3">
      <c r="D74" s="85"/>
      <c r="E74" s="70"/>
      <c r="F74" s="41"/>
      <c r="H74" s="41"/>
      <c r="N74" s="32"/>
    </row>
    <row r="75" spans="4:16" x14ac:dyDescent="0.3">
      <c r="D75" s="85"/>
      <c r="E75" s="70"/>
      <c r="F75" s="41"/>
      <c r="N75" s="32"/>
    </row>
    <row r="76" spans="4:16" x14ac:dyDescent="0.3">
      <c r="D76" s="85"/>
      <c r="E76" s="70"/>
      <c r="J76" s="41"/>
    </row>
    <row r="77" spans="4:16" x14ac:dyDescent="0.3">
      <c r="D77" s="85"/>
      <c r="E77" s="70"/>
      <c r="F77" s="41"/>
      <c r="L77" s="32"/>
    </row>
    <row r="78" spans="4:16" x14ac:dyDescent="0.3">
      <c r="D78" s="85"/>
      <c r="E78" s="70"/>
      <c r="F78" s="41"/>
    </row>
    <row r="79" spans="4:16" x14ac:dyDescent="0.3">
      <c r="D79" s="85"/>
      <c r="E79" s="70"/>
      <c r="F79" s="41"/>
    </row>
    <row r="80" spans="4:16" x14ac:dyDescent="0.3">
      <c r="D80" s="85"/>
      <c r="E80" s="70"/>
      <c r="F80" s="71"/>
    </row>
    <row r="81" spans="4:16" x14ac:dyDescent="0.3">
      <c r="D81" s="85"/>
      <c r="E81" s="70"/>
      <c r="F81" s="71"/>
      <c r="P81" s="32"/>
    </row>
    <row r="82" spans="4:16" x14ac:dyDescent="0.3">
      <c r="D82" s="85"/>
      <c r="E82" s="70"/>
      <c r="F82" s="41"/>
      <c r="L82" s="32"/>
    </row>
    <row r="83" spans="4:16" x14ac:dyDescent="0.3">
      <c r="D83" s="85"/>
      <c r="E83" s="70"/>
      <c r="F83" s="41"/>
    </row>
    <row r="84" spans="4:16" x14ac:dyDescent="0.3">
      <c r="D84" s="85"/>
      <c r="E84" s="70"/>
      <c r="F84" s="71"/>
      <c r="L84" s="32"/>
      <c r="N84" s="32"/>
      <c r="P84" s="32"/>
    </row>
    <row r="85" spans="4:16" ht="15" customHeight="1" x14ac:dyDescent="0.3">
      <c r="D85" s="85"/>
      <c r="E85" s="70"/>
    </row>
    <row r="86" spans="4:16" x14ac:dyDescent="0.3">
      <c r="D86" s="85"/>
      <c r="E86" s="70"/>
      <c r="F86" s="41"/>
    </row>
    <row r="87" spans="4:16" x14ac:dyDescent="0.3">
      <c r="D87" s="85"/>
      <c r="E87" s="70"/>
      <c r="F87" s="41"/>
    </row>
    <row r="88" spans="4:16" x14ac:dyDescent="0.3">
      <c r="D88" s="85"/>
      <c r="E88" s="70"/>
      <c r="F88" s="71"/>
    </row>
    <row r="89" spans="4:16" x14ac:dyDescent="0.3">
      <c r="D89" s="85"/>
      <c r="E89" s="70"/>
      <c r="F89" s="41"/>
    </row>
    <row r="90" spans="4:16" x14ac:dyDescent="0.3">
      <c r="D90" s="85"/>
      <c r="E90" s="70"/>
      <c r="H90" s="41"/>
    </row>
    <row r="91" spans="4:16" x14ac:dyDescent="0.3">
      <c r="D91" s="85"/>
      <c r="E91" s="70"/>
      <c r="F91" s="41"/>
      <c r="H91" s="41"/>
    </row>
    <row r="92" spans="4:16" x14ac:dyDescent="0.3">
      <c r="D92" s="85"/>
      <c r="E92" s="70"/>
      <c r="F92" s="71"/>
      <c r="J92" s="41"/>
    </row>
    <row r="93" spans="4:16" x14ac:dyDescent="0.3">
      <c r="D93" s="85"/>
      <c r="E93" s="70"/>
      <c r="J93" s="41"/>
    </row>
    <row r="94" spans="4:16" x14ac:dyDescent="0.3">
      <c r="D94" s="85"/>
      <c r="E94" s="70"/>
      <c r="H94" s="71"/>
    </row>
    <row r="95" spans="4:16" x14ac:dyDescent="0.3">
      <c r="D95" s="85"/>
      <c r="E95" s="70"/>
      <c r="F95" s="41"/>
      <c r="N95" s="32"/>
    </row>
    <row r="96" spans="4:16" x14ac:dyDescent="0.3">
      <c r="D96" s="85"/>
      <c r="E96" s="70"/>
      <c r="F96" s="71"/>
    </row>
    <row r="97" spans="4:16" x14ac:dyDescent="0.3">
      <c r="D97" s="85"/>
      <c r="E97" s="70"/>
      <c r="F97" s="41"/>
    </row>
    <row r="98" spans="4:16" x14ac:dyDescent="0.3">
      <c r="D98" s="85"/>
      <c r="E98" s="70"/>
      <c r="F98" s="71"/>
      <c r="J98" s="71"/>
      <c r="N98" s="32"/>
    </row>
    <row r="99" spans="4:16" x14ac:dyDescent="0.3">
      <c r="D99" s="85"/>
      <c r="E99" s="70"/>
      <c r="P99" s="32"/>
    </row>
    <row r="100" spans="4:16" x14ac:dyDescent="0.3">
      <c r="D100" s="85"/>
      <c r="E100" s="70"/>
      <c r="G100" s="1"/>
      <c r="I100" s="1"/>
      <c r="K100" s="1"/>
      <c r="M100" s="1"/>
      <c r="O100" s="1"/>
    </row>
    <row r="101" spans="4:16" x14ac:dyDescent="0.3">
      <c r="D101" s="85"/>
      <c r="E101" s="70"/>
      <c r="F101" s="71"/>
      <c r="G101" s="1"/>
      <c r="I101" s="1"/>
      <c r="K101" s="1"/>
      <c r="M101" s="1"/>
      <c r="O101" s="1"/>
    </row>
    <row r="102" spans="4:16" x14ac:dyDescent="0.3">
      <c r="D102" s="85"/>
      <c r="E102" s="70"/>
      <c r="F102" s="41"/>
      <c r="G102" s="1"/>
      <c r="I102" s="1"/>
      <c r="K102" s="1"/>
      <c r="M102" s="1"/>
      <c r="O102" s="1"/>
    </row>
    <row r="103" spans="4:16" x14ac:dyDescent="0.3">
      <c r="D103" s="85"/>
      <c r="E103" s="70"/>
      <c r="F103" s="71"/>
      <c r="G103" s="1"/>
      <c r="I103" s="1"/>
      <c r="K103" s="1"/>
      <c r="M103" s="1"/>
      <c r="O103" s="1"/>
    </row>
    <row r="104" spans="4:16" x14ac:dyDescent="0.3">
      <c r="D104" s="85"/>
      <c r="E104" s="70"/>
    </row>
    <row r="105" spans="4:16" x14ac:dyDescent="0.3">
      <c r="E105" s="70"/>
      <c r="F105" s="71"/>
    </row>
    <row r="106" spans="4:16" x14ac:dyDescent="0.3">
      <c r="E106" s="70"/>
      <c r="F106" s="71"/>
      <c r="P106" s="32"/>
    </row>
    <row r="107" spans="4:16" x14ac:dyDescent="0.3">
      <c r="E107" s="70"/>
      <c r="F107" s="41"/>
      <c r="L107" s="32"/>
    </row>
    <row r="108" spans="4:16" x14ac:dyDescent="0.3">
      <c r="E108" s="70"/>
    </row>
    <row r="109" spans="4:16" x14ac:dyDescent="0.3">
      <c r="E109" s="70"/>
    </row>
    <row r="110" spans="4:16" x14ac:dyDescent="0.3">
      <c r="E110" s="70"/>
    </row>
    <row r="111" spans="4:16" x14ac:dyDescent="0.3">
      <c r="E111" s="70"/>
      <c r="N111" s="32"/>
    </row>
    <row r="112" spans="4:16" x14ac:dyDescent="0.3">
      <c r="E112" s="70"/>
      <c r="F112" s="71"/>
      <c r="P112" s="32"/>
    </row>
    <row r="113" spans="5:16" x14ac:dyDescent="0.3">
      <c r="E113" s="70"/>
      <c r="F113" s="71"/>
    </row>
    <row r="114" spans="5:16" x14ac:dyDescent="0.3">
      <c r="E114" s="70"/>
      <c r="F114" s="71"/>
    </row>
    <row r="115" spans="5:16" x14ac:dyDescent="0.3">
      <c r="E115" s="70"/>
      <c r="F115" s="41"/>
    </row>
    <row r="116" spans="5:16" x14ac:dyDescent="0.3">
      <c r="E116" s="70"/>
      <c r="F116" s="71"/>
      <c r="N116" s="32"/>
    </row>
    <row r="117" spans="5:16" x14ac:dyDescent="0.3">
      <c r="E117" s="70"/>
    </row>
    <row r="118" spans="5:16" x14ac:dyDescent="0.3">
      <c r="E118" s="70"/>
      <c r="F118" s="41"/>
      <c r="H118" s="41"/>
    </row>
    <row r="119" spans="5:16" x14ac:dyDescent="0.3">
      <c r="E119" s="70"/>
      <c r="F119" s="41"/>
    </row>
    <row r="120" spans="5:16" x14ac:dyDescent="0.3">
      <c r="E120" s="70"/>
      <c r="P120" s="32"/>
    </row>
    <row r="121" spans="5:16" x14ac:dyDescent="0.3">
      <c r="E121" s="70"/>
    </row>
    <row r="122" spans="5:16" x14ac:dyDescent="0.3">
      <c r="E122" s="70"/>
      <c r="J122" s="41"/>
    </row>
    <row r="123" spans="5:16" x14ac:dyDescent="0.3">
      <c r="E123" s="70"/>
      <c r="F123" s="71"/>
    </row>
    <row r="124" spans="5:16" x14ac:dyDescent="0.3">
      <c r="E124" s="70"/>
      <c r="F124" s="71"/>
      <c r="H124" s="41"/>
    </row>
    <row r="125" spans="5:16" x14ac:dyDescent="0.3">
      <c r="E125" s="70"/>
    </row>
    <row r="126" spans="5:16" x14ac:dyDescent="0.3">
      <c r="E126" s="70"/>
      <c r="F126" s="41"/>
    </row>
    <row r="127" spans="5:16" x14ac:dyDescent="0.3">
      <c r="E127" s="70"/>
    </row>
    <row r="128" spans="5:16" x14ac:dyDescent="0.3">
      <c r="E128" s="70"/>
      <c r="F128" s="71"/>
      <c r="H128" s="41"/>
    </row>
    <row r="129" spans="5:16" x14ac:dyDescent="0.3">
      <c r="E129" s="70"/>
    </row>
    <row r="130" spans="5:16" x14ac:dyDescent="0.3">
      <c r="E130" s="70"/>
      <c r="F130" s="41"/>
      <c r="J130" s="41"/>
      <c r="L130" s="32"/>
    </row>
    <row r="131" spans="5:16" x14ac:dyDescent="0.3">
      <c r="E131" s="70"/>
      <c r="F131" s="41"/>
      <c r="H131" s="41"/>
      <c r="J131" s="41"/>
      <c r="L131" s="32"/>
      <c r="N131" s="32"/>
      <c r="P131" s="32"/>
    </row>
    <row r="132" spans="5:16" x14ac:dyDescent="0.3">
      <c r="E132" s="70"/>
      <c r="N132" s="32"/>
      <c r="P132" s="32"/>
    </row>
  </sheetData>
  <sortState xmlns:xlrd2="http://schemas.microsoft.com/office/spreadsheetml/2017/richdata2" ref="E7:F26">
    <sortCondition ref="E7:E26"/>
  </sortState>
  <mergeCells count="6">
    <mergeCell ref="D83:D104"/>
    <mergeCell ref="D7:D17"/>
    <mergeCell ref="D18:D33"/>
    <mergeCell ref="D34:D54"/>
    <mergeCell ref="D55:D63"/>
    <mergeCell ref="D64:D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85" zoomScaleNormal="85" workbookViewId="0">
      <selection activeCell="C3" sqref="C3"/>
    </sheetView>
  </sheetViews>
  <sheetFormatPr baseColWidth="10" defaultRowHeight="14.4" x14ac:dyDescent="0.3"/>
  <cols>
    <col min="3" max="3" width="26.44140625" bestFit="1" customWidth="1"/>
    <col min="4" max="4" width="5.44140625" bestFit="1" customWidth="1"/>
    <col min="5" max="5" width="14.33203125" customWidth="1"/>
    <col min="6" max="6" width="11.5546875" style="61"/>
    <col min="7" max="7" width="15" customWidth="1"/>
    <col min="8" max="8" width="11.5546875" style="61"/>
    <col min="9" max="9" width="15" customWidth="1"/>
    <col min="10" max="10" width="11.5546875" style="61"/>
    <col min="11" max="11" width="16.5546875" customWidth="1"/>
    <col min="12" max="12" width="11.5546875" style="61"/>
    <col min="13" max="13" width="16.33203125" customWidth="1"/>
    <col min="14" max="14" width="11.5546875" style="61"/>
    <col min="15" max="15" width="15.109375" customWidth="1"/>
    <col min="16" max="16" width="11.5546875" style="61"/>
  </cols>
  <sheetData>
    <row r="1" spans="1:18" ht="15" thickBot="1" x14ac:dyDescent="0.35"/>
    <row r="2" spans="1:18" x14ac:dyDescent="0.3">
      <c r="C2" s="61" t="s">
        <v>52</v>
      </c>
      <c r="E2" s="88" t="str">
        <f>Max_An_non_triee!E2</f>
        <v>r1</v>
      </c>
      <c r="F2" s="87"/>
      <c r="G2" s="88" t="str">
        <f>Max_An_non_triee!G2</f>
        <v>r10</v>
      </c>
      <c r="H2" s="87"/>
      <c r="I2" s="88" t="str">
        <f>Max_An_non_triee!I2</f>
        <v>r2</v>
      </c>
      <c r="J2" s="87"/>
      <c r="K2" s="88" t="str">
        <f>Max_An_non_triee!K2</f>
        <v>r3</v>
      </c>
      <c r="L2" s="87"/>
      <c r="M2" s="86" t="str">
        <f>Max_An_non_triee!M2</f>
        <v>r4</v>
      </c>
      <c r="N2" s="87"/>
      <c r="O2" s="86" t="s">
        <v>50</v>
      </c>
      <c r="P2" s="87"/>
      <c r="Q2" s="2"/>
      <c r="R2" s="8"/>
    </row>
    <row r="3" spans="1:18" x14ac:dyDescent="0.3">
      <c r="C3" s="75">
        <v>1</v>
      </c>
      <c r="E3" s="21"/>
      <c r="F3" s="62"/>
      <c r="H3" s="62"/>
      <c r="J3" s="62"/>
      <c r="L3" s="62"/>
      <c r="N3" s="62"/>
      <c r="P3" s="62"/>
    </row>
    <row r="4" spans="1:18" x14ac:dyDescent="0.3">
      <c r="E4" s="78" t="s">
        <v>53</v>
      </c>
      <c r="F4" s="62" t="s">
        <v>44</v>
      </c>
      <c r="G4" s="78" t="s">
        <v>53</v>
      </c>
      <c r="H4" s="62" t="s">
        <v>44</v>
      </c>
      <c r="I4" s="78" t="s">
        <v>53</v>
      </c>
      <c r="J4" s="62" t="s">
        <v>44</v>
      </c>
      <c r="K4" s="78" t="s">
        <v>53</v>
      </c>
      <c r="L4" s="62" t="s">
        <v>44</v>
      </c>
      <c r="M4" s="78" t="s">
        <v>53</v>
      </c>
      <c r="N4" s="62" t="s">
        <v>44</v>
      </c>
      <c r="O4" s="78" t="s">
        <v>53</v>
      </c>
      <c r="P4" s="62" t="s">
        <v>44</v>
      </c>
      <c r="Q4" s="5"/>
      <c r="R4" s="4"/>
    </row>
    <row r="5" spans="1:18" x14ac:dyDescent="0.3">
      <c r="E5" s="60" t="s">
        <v>0</v>
      </c>
      <c r="F5" s="62"/>
      <c r="G5" s="1" t="s">
        <v>0</v>
      </c>
      <c r="H5" s="62"/>
      <c r="I5" s="1" t="s">
        <v>0</v>
      </c>
      <c r="J5" s="62"/>
      <c r="K5" s="1" t="s">
        <v>0</v>
      </c>
      <c r="L5" s="62"/>
      <c r="M5" s="1" t="s">
        <v>0</v>
      </c>
      <c r="N5" s="62"/>
      <c r="O5" s="1" t="s">
        <v>0</v>
      </c>
      <c r="P5" s="62"/>
      <c r="Q5" s="1"/>
      <c r="R5" s="1"/>
    </row>
    <row r="6" spans="1:18" x14ac:dyDescent="0.3">
      <c r="A6" s="6"/>
      <c r="B6" s="44"/>
      <c r="E6" s="21"/>
      <c r="F6" s="62"/>
      <c r="H6" s="62"/>
      <c r="J6" s="62"/>
      <c r="L6" s="62"/>
      <c r="N6" s="62"/>
      <c r="P6" s="62"/>
    </row>
    <row r="7" spans="1:18" ht="15" customHeight="1" x14ac:dyDescent="0.3">
      <c r="A7" s="6"/>
      <c r="B7" s="44"/>
      <c r="D7" s="80"/>
      <c r="E7" s="41" cm="1">
        <f t="array" ref="E7:E1000">_xlfn._xlws.SORT(Max_An_non_triee!F7:F1000,,1,FALSE)</f>
        <v>26.361986864358201</v>
      </c>
      <c r="F7" s="79">
        <f>E7*$C$3</f>
        <v>26.361986864358201</v>
      </c>
      <c r="G7" s="41" cm="1">
        <f t="array" ref="G7:G1000">_xlfn._xlws.SORT(Max_An_non_triee!H7:H1000,,1,FALSE)</f>
        <v>31.716583650559201</v>
      </c>
      <c r="H7" s="79">
        <f>G7*$C$3</f>
        <v>31.716583650559201</v>
      </c>
      <c r="I7" s="41" cm="1">
        <f t="array" ref="I7:I1000">_xlfn._xlws.SORT(Max_An_non_triee!J7:J1000,,1,FALSE)</f>
        <v>39.533421155065298</v>
      </c>
      <c r="J7" s="79">
        <f>I7*$C$3</f>
        <v>39.533421155065298</v>
      </c>
      <c r="K7" s="41" cm="1">
        <f t="array" ref="K7:K1000">_xlfn._xlws.SORT(Max_An_non_triee!L7:L1000,,1,FALSE)</f>
        <v>32.911837678402698</v>
      </c>
      <c r="L7" s="79">
        <f>K7*$C$3</f>
        <v>32.911837678402698</v>
      </c>
      <c r="M7" s="41" cm="1">
        <f t="array" ref="M7:M1000">_xlfn._xlws.SORT(Max_An_non_triee!N7:N1000,,1,FALSE)</f>
        <v>34.6136228553951</v>
      </c>
      <c r="N7" s="79">
        <f>M7*$C$3</f>
        <v>34.6136228553951</v>
      </c>
      <c r="O7" s="41" cm="1">
        <f t="array" ref="O7:O1000">_xlfn._xlws.SORT(Max_An_non_triee!P7:P1000,,1,FALSE)</f>
        <v>31.750242188572901</v>
      </c>
      <c r="P7" s="79">
        <f>O7*$C$3</f>
        <v>31.750242188572901</v>
      </c>
      <c r="Q7" s="1"/>
    </row>
    <row r="8" spans="1:18" x14ac:dyDescent="0.3">
      <c r="A8" s="6"/>
      <c r="B8" s="44"/>
      <c r="D8" s="80"/>
      <c r="E8" s="41">
        <v>32.869200613349697</v>
      </c>
      <c r="F8" s="79">
        <f t="shared" ref="F8:F71" si="0">E8*$C$3</f>
        <v>32.869200613349697</v>
      </c>
      <c r="G8">
        <v>42.476168721914298</v>
      </c>
      <c r="H8" s="79">
        <f t="shared" ref="H8:H71" si="1">G8*$C$3</f>
        <v>42.476168721914298</v>
      </c>
      <c r="I8">
        <v>42.571262251585701</v>
      </c>
      <c r="J8" s="79">
        <f t="shared" ref="J8:J71" si="2">I8*$C$3</f>
        <v>42.571262251585701</v>
      </c>
      <c r="K8">
        <v>35.3426618501544</v>
      </c>
      <c r="L8" s="79">
        <f t="shared" ref="L8:L71" si="3">K8*$C$3</f>
        <v>35.3426618501544</v>
      </c>
      <c r="M8">
        <v>37.605600189417601</v>
      </c>
      <c r="N8" s="79">
        <f t="shared" ref="N8:N71" si="4">M8*$C$3</f>
        <v>37.605600189417601</v>
      </c>
      <c r="O8" s="32">
        <v>31.834220811724698</v>
      </c>
      <c r="P8" s="79">
        <f t="shared" ref="P8:P71" si="5">O8*$C$3</f>
        <v>31.834220811724698</v>
      </c>
      <c r="Q8" s="1"/>
    </row>
    <row r="9" spans="1:18" ht="15" customHeight="1" x14ac:dyDescent="0.3">
      <c r="A9" s="6"/>
      <c r="B9" s="44"/>
      <c r="D9" s="80"/>
      <c r="E9" s="41">
        <v>42.927400432527101</v>
      </c>
      <c r="F9" s="79">
        <f t="shared" si="0"/>
        <v>42.927400432527101</v>
      </c>
      <c r="G9">
        <v>44.5421834662557</v>
      </c>
      <c r="H9" s="79">
        <f t="shared" si="1"/>
        <v>44.5421834662557</v>
      </c>
      <c r="I9">
        <v>42.932034786790602</v>
      </c>
      <c r="J9" s="79">
        <f t="shared" si="2"/>
        <v>42.932034786790602</v>
      </c>
      <c r="K9">
        <v>39.488640166819103</v>
      </c>
      <c r="L9" s="79">
        <f t="shared" si="3"/>
        <v>39.488640166819103</v>
      </c>
      <c r="M9">
        <v>42.456313669681499</v>
      </c>
      <c r="N9" s="79">
        <f t="shared" si="4"/>
        <v>42.456313669681499</v>
      </c>
      <c r="O9">
        <v>42.103695888072302</v>
      </c>
      <c r="P9" s="79">
        <f t="shared" si="5"/>
        <v>42.103695888072302</v>
      </c>
      <c r="Q9" s="1"/>
    </row>
    <row r="10" spans="1:18" x14ac:dyDescent="0.3">
      <c r="A10" s="6"/>
      <c r="B10" s="44"/>
      <c r="D10" s="80"/>
      <c r="E10">
        <v>47.048988416790998</v>
      </c>
      <c r="F10" s="79">
        <f t="shared" si="0"/>
        <v>47.048988416790998</v>
      </c>
      <c r="G10">
        <v>45.203562900423996</v>
      </c>
      <c r="H10" s="79">
        <f t="shared" si="1"/>
        <v>45.203562900423996</v>
      </c>
      <c r="I10">
        <v>46.322729028761401</v>
      </c>
      <c r="J10" s="79">
        <f t="shared" si="2"/>
        <v>46.322729028761401</v>
      </c>
      <c r="K10">
        <v>46.103955321013899</v>
      </c>
      <c r="L10" s="79">
        <f t="shared" si="3"/>
        <v>46.103955321013899</v>
      </c>
      <c r="M10">
        <v>44.353999011218498</v>
      </c>
      <c r="N10" s="79">
        <f t="shared" si="4"/>
        <v>44.353999011218498</v>
      </c>
      <c r="O10">
        <v>46.860200464725501</v>
      </c>
      <c r="P10" s="79">
        <f t="shared" si="5"/>
        <v>46.860200464725501</v>
      </c>
      <c r="Q10" s="1"/>
    </row>
    <row r="11" spans="1:18" x14ac:dyDescent="0.3">
      <c r="A11" s="6"/>
      <c r="B11" s="44"/>
      <c r="D11" s="80"/>
      <c r="E11">
        <v>48.113587349653201</v>
      </c>
      <c r="F11" s="79">
        <f t="shared" si="0"/>
        <v>48.113587349653201</v>
      </c>
      <c r="G11" s="41">
        <v>45.677841156721101</v>
      </c>
      <c r="H11" s="79">
        <f t="shared" si="1"/>
        <v>45.677841156721101</v>
      </c>
      <c r="I11">
        <v>46.428177561610902</v>
      </c>
      <c r="J11" s="79">
        <f t="shared" si="2"/>
        <v>46.428177561610902</v>
      </c>
      <c r="K11">
        <v>47.186495214700699</v>
      </c>
      <c r="L11" s="79">
        <f t="shared" si="3"/>
        <v>47.186495214700699</v>
      </c>
      <c r="M11">
        <v>46.757558695972001</v>
      </c>
      <c r="N11" s="79">
        <f t="shared" si="4"/>
        <v>46.757558695972001</v>
      </c>
      <c r="O11">
        <v>47.693769671022899</v>
      </c>
      <c r="P11" s="79">
        <f t="shared" si="5"/>
        <v>47.693769671022899</v>
      </c>
      <c r="Q11" s="1"/>
    </row>
    <row r="12" spans="1:18" x14ac:dyDescent="0.3">
      <c r="A12" s="6"/>
      <c r="B12" s="44"/>
      <c r="D12" s="80"/>
      <c r="E12" s="71">
        <v>48.386913165450103</v>
      </c>
      <c r="F12" s="79">
        <f t="shared" si="0"/>
        <v>48.386913165450103</v>
      </c>
      <c r="G12" s="71">
        <v>47.693769671022899</v>
      </c>
      <c r="H12" s="79">
        <f t="shared" si="1"/>
        <v>47.693769671022899</v>
      </c>
      <c r="I12">
        <v>46.904319617897301</v>
      </c>
      <c r="J12" s="79">
        <f t="shared" si="2"/>
        <v>46.904319617897301</v>
      </c>
      <c r="K12">
        <v>48.560494501143701</v>
      </c>
      <c r="L12" s="79">
        <f t="shared" si="3"/>
        <v>48.560494501143701</v>
      </c>
      <c r="M12">
        <v>49.904619175940802</v>
      </c>
      <c r="N12" s="79">
        <f t="shared" si="4"/>
        <v>49.904619175940802</v>
      </c>
      <c r="O12">
        <v>48.779421094805002</v>
      </c>
      <c r="P12" s="79">
        <f t="shared" si="5"/>
        <v>48.779421094805002</v>
      </c>
      <c r="Q12" s="1"/>
    </row>
    <row r="13" spans="1:18" x14ac:dyDescent="0.3">
      <c r="A13" s="6"/>
      <c r="B13" s="44"/>
      <c r="D13" s="80"/>
      <c r="E13">
        <v>50.666394867003</v>
      </c>
      <c r="F13" s="79">
        <f t="shared" si="0"/>
        <v>50.666394867003</v>
      </c>
      <c r="G13">
        <v>50.334665626287503</v>
      </c>
      <c r="H13" s="79">
        <f t="shared" si="1"/>
        <v>50.334665626287503</v>
      </c>
      <c r="I13" s="71">
        <v>48.409487977623897</v>
      </c>
      <c r="J13" s="79">
        <f t="shared" si="2"/>
        <v>48.409487977623897</v>
      </c>
      <c r="K13">
        <v>49.235622100531998</v>
      </c>
      <c r="L13" s="79">
        <f t="shared" si="3"/>
        <v>49.235622100531998</v>
      </c>
      <c r="M13">
        <v>50.365691408514998</v>
      </c>
      <c r="N13" s="79">
        <f t="shared" si="4"/>
        <v>50.365691408514998</v>
      </c>
      <c r="O13">
        <v>52.934497632086298</v>
      </c>
      <c r="P13" s="79">
        <f t="shared" si="5"/>
        <v>52.934497632086298</v>
      </c>
      <c r="Q13" s="1"/>
    </row>
    <row r="14" spans="1:18" x14ac:dyDescent="0.3">
      <c r="A14" s="6"/>
      <c r="B14" s="44"/>
      <c r="D14" s="80"/>
      <c r="E14" s="41">
        <v>50.704897977411697</v>
      </c>
      <c r="F14" s="79">
        <f t="shared" si="0"/>
        <v>50.704897977411697</v>
      </c>
      <c r="G14">
        <v>53.529602028429501</v>
      </c>
      <c r="H14" s="79">
        <f t="shared" si="1"/>
        <v>53.529602028429501</v>
      </c>
      <c r="I14">
        <v>48.725679181516199</v>
      </c>
      <c r="J14" s="79">
        <f t="shared" si="2"/>
        <v>48.725679181516199</v>
      </c>
      <c r="K14">
        <v>53.175627887249</v>
      </c>
      <c r="L14" s="79">
        <f t="shared" si="3"/>
        <v>53.175627887249</v>
      </c>
      <c r="M14" s="32">
        <v>51.343814246356501</v>
      </c>
      <c r="N14" s="79">
        <f t="shared" si="4"/>
        <v>51.343814246356501</v>
      </c>
      <c r="O14">
        <v>54.546706750989003</v>
      </c>
      <c r="P14" s="79">
        <f t="shared" si="5"/>
        <v>54.546706750989003</v>
      </c>
      <c r="Q14" s="1"/>
    </row>
    <row r="15" spans="1:18" x14ac:dyDescent="0.3">
      <c r="A15" s="6"/>
      <c r="B15" s="44"/>
      <c r="D15" s="80"/>
      <c r="E15" s="71">
        <v>52.0278409123421</v>
      </c>
      <c r="F15" s="79">
        <f t="shared" si="0"/>
        <v>52.0278409123421</v>
      </c>
      <c r="G15">
        <v>53.9384481310844</v>
      </c>
      <c r="H15" s="79">
        <f t="shared" si="1"/>
        <v>53.9384481310844</v>
      </c>
      <c r="I15">
        <v>53.1774655357003</v>
      </c>
      <c r="J15" s="79">
        <f t="shared" si="2"/>
        <v>53.1774655357003</v>
      </c>
      <c r="K15">
        <v>57.815446816384799</v>
      </c>
      <c r="L15" s="79">
        <f t="shared" si="3"/>
        <v>57.815446816384799</v>
      </c>
      <c r="M15" s="32">
        <v>54.546706750989003</v>
      </c>
      <c r="N15" s="79">
        <f t="shared" si="4"/>
        <v>54.546706750989003</v>
      </c>
      <c r="O15">
        <v>60.656312517821803</v>
      </c>
      <c r="P15" s="79">
        <f t="shared" si="5"/>
        <v>60.656312517821803</v>
      </c>
      <c r="Q15" s="1"/>
    </row>
    <row r="16" spans="1:18" x14ac:dyDescent="0.3">
      <c r="A16" s="6"/>
      <c r="B16" s="44"/>
      <c r="D16" s="80"/>
      <c r="E16" s="71">
        <v>53.786801397800403</v>
      </c>
      <c r="F16" s="79">
        <f t="shared" si="0"/>
        <v>53.786801397800403</v>
      </c>
      <c r="G16">
        <v>55.149308592081098</v>
      </c>
      <c r="H16" s="79">
        <f t="shared" si="1"/>
        <v>55.149308592081098</v>
      </c>
      <c r="I16" s="41">
        <v>53.3009943366051</v>
      </c>
      <c r="J16" s="79">
        <f t="shared" si="2"/>
        <v>53.3009943366051</v>
      </c>
      <c r="K16">
        <v>58.036922179162502</v>
      </c>
      <c r="L16" s="79">
        <f t="shared" si="3"/>
        <v>58.036922179162502</v>
      </c>
      <c r="M16">
        <v>55.723960474133499</v>
      </c>
      <c r="N16" s="79">
        <f t="shared" si="4"/>
        <v>55.723960474133499</v>
      </c>
      <c r="O16">
        <v>62.855808734893799</v>
      </c>
      <c r="P16" s="79">
        <f t="shared" si="5"/>
        <v>62.855808734893799</v>
      </c>
      <c r="Q16" s="1"/>
    </row>
    <row r="17" spans="1:17" x14ac:dyDescent="0.3">
      <c r="A17" s="6"/>
      <c r="B17" s="44"/>
      <c r="D17" s="80"/>
      <c r="E17">
        <v>55.202283561229699</v>
      </c>
      <c r="F17" s="79">
        <f t="shared" si="0"/>
        <v>55.202283561229699</v>
      </c>
      <c r="G17">
        <v>58.1866316869855</v>
      </c>
      <c r="H17" s="79">
        <f t="shared" si="1"/>
        <v>58.1866316869855</v>
      </c>
      <c r="I17">
        <v>58.509510643780203</v>
      </c>
      <c r="J17" s="79">
        <f t="shared" si="2"/>
        <v>58.509510643780203</v>
      </c>
      <c r="K17">
        <v>63.557695895433397</v>
      </c>
      <c r="L17" s="79">
        <f t="shared" si="3"/>
        <v>63.557695895433397</v>
      </c>
      <c r="M17">
        <v>65.458560660481496</v>
      </c>
      <c r="N17" s="79">
        <f t="shared" si="4"/>
        <v>65.458560660481496</v>
      </c>
      <c r="O17">
        <v>64.492448419332504</v>
      </c>
      <c r="P17" s="79">
        <f t="shared" si="5"/>
        <v>64.492448419332504</v>
      </c>
      <c r="Q17" s="1"/>
    </row>
    <row r="18" spans="1:17" x14ac:dyDescent="0.3">
      <c r="A18" s="6"/>
      <c r="B18" s="44"/>
      <c r="D18" s="80"/>
      <c r="E18" s="71">
        <v>68.347725234925704</v>
      </c>
      <c r="F18" s="79">
        <f t="shared" si="0"/>
        <v>68.347725234925704</v>
      </c>
      <c r="G18">
        <v>58.467666171491203</v>
      </c>
      <c r="H18" s="79">
        <f t="shared" si="1"/>
        <v>58.467666171491203</v>
      </c>
      <c r="I18" s="71">
        <v>60.713037215173301</v>
      </c>
      <c r="J18" s="79">
        <f t="shared" si="2"/>
        <v>60.713037215173301</v>
      </c>
      <c r="K18">
        <v>64.341592267155605</v>
      </c>
      <c r="L18" s="79">
        <f t="shared" si="3"/>
        <v>64.341592267155605</v>
      </c>
      <c r="M18">
        <v>69.1698601841927</v>
      </c>
      <c r="N18" s="79">
        <f t="shared" si="4"/>
        <v>69.1698601841927</v>
      </c>
      <c r="O18" s="32">
        <v>64.768307916820007</v>
      </c>
      <c r="P18" s="79">
        <f t="shared" si="5"/>
        <v>64.768307916820007</v>
      </c>
      <c r="Q18" s="1"/>
    </row>
    <row r="19" spans="1:17" x14ac:dyDescent="0.3">
      <c r="A19" s="6"/>
      <c r="B19" s="44"/>
      <c r="D19" s="80"/>
      <c r="E19">
        <v>70.875375978648705</v>
      </c>
      <c r="F19" s="79">
        <f t="shared" si="0"/>
        <v>70.875375978648705</v>
      </c>
      <c r="G19">
        <v>61.421307362616098</v>
      </c>
      <c r="H19" s="79">
        <f t="shared" si="1"/>
        <v>61.421307362616098</v>
      </c>
      <c r="I19">
        <v>65.493966825306401</v>
      </c>
      <c r="J19" s="79">
        <f t="shared" si="2"/>
        <v>65.493966825306401</v>
      </c>
      <c r="K19">
        <v>67.232443615794196</v>
      </c>
      <c r="L19" s="79">
        <f t="shared" si="3"/>
        <v>67.232443615794196</v>
      </c>
      <c r="M19">
        <v>69.970812387764497</v>
      </c>
      <c r="N19" s="79">
        <f t="shared" si="4"/>
        <v>69.970812387764497</v>
      </c>
      <c r="O19">
        <v>67.8871966525912</v>
      </c>
      <c r="P19" s="79">
        <f t="shared" si="5"/>
        <v>67.8871966525912</v>
      </c>
      <c r="Q19" s="1"/>
    </row>
    <row r="20" spans="1:17" ht="15" customHeight="1" x14ac:dyDescent="0.3">
      <c r="A20" s="6"/>
      <c r="B20" s="44"/>
      <c r="D20" s="80"/>
      <c r="E20">
        <v>71.921180002391296</v>
      </c>
      <c r="F20" s="79">
        <f t="shared" si="0"/>
        <v>71.921180002391296</v>
      </c>
      <c r="G20">
        <v>71.707472652196898</v>
      </c>
      <c r="H20" s="79">
        <f t="shared" si="1"/>
        <v>71.707472652196898</v>
      </c>
      <c r="I20">
        <v>68.347725234925704</v>
      </c>
      <c r="J20" s="79">
        <f t="shared" si="2"/>
        <v>68.347725234925704</v>
      </c>
      <c r="K20">
        <v>68.347725234925704</v>
      </c>
      <c r="L20" s="79">
        <f t="shared" si="3"/>
        <v>68.347725234925704</v>
      </c>
      <c r="M20">
        <v>73.585398495197296</v>
      </c>
      <c r="N20" s="79">
        <f t="shared" si="4"/>
        <v>73.585398495197296</v>
      </c>
      <c r="O20">
        <v>71.749006323516397</v>
      </c>
      <c r="P20" s="79">
        <f t="shared" si="5"/>
        <v>71.749006323516397</v>
      </c>
      <c r="Q20" s="1"/>
    </row>
    <row r="21" spans="1:17" x14ac:dyDescent="0.3">
      <c r="A21" s="6"/>
      <c r="B21" s="44"/>
      <c r="D21" s="80"/>
      <c r="E21" s="41">
        <v>73.686024583876105</v>
      </c>
      <c r="F21" s="79">
        <f t="shared" si="0"/>
        <v>73.686024583876105</v>
      </c>
      <c r="G21">
        <v>81.782528646290302</v>
      </c>
      <c r="H21" s="79">
        <f t="shared" si="1"/>
        <v>81.782528646290302</v>
      </c>
      <c r="I21">
        <v>75.779616124927998</v>
      </c>
      <c r="J21" s="79">
        <f t="shared" si="2"/>
        <v>75.779616124927998</v>
      </c>
      <c r="K21">
        <v>79.541657678782897</v>
      </c>
      <c r="L21" s="79">
        <f t="shared" si="3"/>
        <v>79.541657678782897</v>
      </c>
      <c r="M21">
        <v>109.63914982974499</v>
      </c>
      <c r="N21" s="79">
        <f t="shared" si="4"/>
        <v>109.63914982974499</v>
      </c>
      <c r="O21">
        <v>74.596848450601101</v>
      </c>
      <c r="P21" s="79">
        <f t="shared" si="5"/>
        <v>74.596848450601101</v>
      </c>
      <c r="Q21" s="1"/>
    </row>
    <row r="22" spans="1:17" x14ac:dyDescent="0.3">
      <c r="A22" s="6"/>
      <c r="B22" s="44"/>
      <c r="D22" s="80"/>
      <c r="E22" s="71">
        <v>79.012511484324904</v>
      </c>
      <c r="F22" s="79">
        <f t="shared" si="0"/>
        <v>79.012511484324904</v>
      </c>
      <c r="G22">
        <v>84.521324895322294</v>
      </c>
      <c r="H22" s="79">
        <f t="shared" si="1"/>
        <v>84.521324895322294</v>
      </c>
      <c r="I22">
        <v>87.193965800106497</v>
      </c>
      <c r="J22" s="79">
        <f t="shared" si="2"/>
        <v>87.193965800106497</v>
      </c>
      <c r="K22">
        <v>108.046071566641</v>
      </c>
      <c r="L22" s="79">
        <f t="shared" si="3"/>
        <v>108.046071566641</v>
      </c>
      <c r="M22" s="32">
        <v>116.91310454160001</v>
      </c>
      <c r="N22" s="79">
        <f t="shared" si="4"/>
        <v>116.91310454160001</v>
      </c>
      <c r="O22">
        <v>88.316309340298204</v>
      </c>
      <c r="P22" s="79">
        <f t="shared" si="5"/>
        <v>88.316309340298204</v>
      </c>
      <c r="Q22" s="1"/>
    </row>
    <row r="23" spans="1:17" x14ac:dyDescent="0.3">
      <c r="A23" s="6"/>
      <c r="B23" s="44"/>
      <c r="D23" s="80"/>
      <c r="E23">
        <v>85.479384474456296</v>
      </c>
      <c r="F23" s="79">
        <f t="shared" si="0"/>
        <v>85.479384474456296</v>
      </c>
      <c r="G23">
        <v>130.14036029577301</v>
      </c>
      <c r="H23" s="79">
        <f t="shared" si="1"/>
        <v>130.14036029577301</v>
      </c>
      <c r="I23">
        <v>108.501177728176</v>
      </c>
      <c r="J23" s="79">
        <f t="shared" si="2"/>
        <v>108.501177728176</v>
      </c>
      <c r="K23">
        <v>122.455571964383</v>
      </c>
      <c r="L23" s="79">
        <f t="shared" si="3"/>
        <v>122.455571964383</v>
      </c>
      <c r="M23">
        <v>124.620018079877</v>
      </c>
      <c r="N23" s="79">
        <f t="shared" si="4"/>
        <v>124.620018079877</v>
      </c>
      <c r="O23" s="32">
        <v>128.77851895987999</v>
      </c>
      <c r="P23" s="79">
        <f t="shared" si="5"/>
        <v>128.77851895987999</v>
      </c>
      <c r="Q23" s="1"/>
    </row>
    <row r="24" spans="1:17" x14ac:dyDescent="0.3">
      <c r="D24" s="80"/>
      <c r="E24" s="71">
        <v>115.31745940446901</v>
      </c>
      <c r="F24" s="79">
        <f t="shared" si="0"/>
        <v>115.31745940446901</v>
      </c>
      <c r="G24">
        <v>130.40715627372299</v>
      </c>
      <c r="H24" s="79">
        <f t="shared" si="1"/>
        <v>130.40715627372299</v>
      </c>
      <c r="I24">
        <v>130.32176345586799</v>
      </c>
      <c r="J24" s="79">
        <f t="shared" si="2"/>
        <v>130.32176345586799</v>
      </c>
      <c r="K24">
        <v>130.40715627372299</v>
      </c>
      <c r="L24" s="79">
        <f t="shared" si="3"/>
        <v>130.40715627372299</v>
      </c>
      <c r="M24">
        <v>130.40715627372299</v>
      </c>
      <c r="N24" s="79">
        <f t="shared" si="4"/>
        <v>130.40715627372299</v>
      </c>
      <c r="O24">
        <v>130.40715627372299</v>
      </c>
      <c r="P24" s="79">
        <f t="shared" si="5"/>
        <v>130.40715627372299</v>
      </c>
      <c r="Q24" s="1"/>
    </row>
    <row r="25" spans="1:17" x14ac:dyDescent="0.3">
      <c r="D25" s="80"/>
      <c r="E25" s="41">
        <v>130.40715627372299</v>
      </c>
      <c r="F25" s="79">
        <f t="shared" si="0"/>
        <v>130.40715627372299</v>
      </c>
      <c r="G25">
        <v>158.386771157384</v>
      </c>
      <c r="H25" s="79">
        <f t="shared" si="1"/>
        <v>158.386771157384</v>
      </c>
      <c r="I25">
        <v>130.40715627372299</v>
      </c>
      <c r="J25" s="79">
        <f t="shared" si="2"/>
        <v>130.40715627372299</v>
      </c>
      <c r="K25">
        <v>174.135995730758</v>
      </c>
      <c r="L25" s="79">
        <f t="shared" si="3"/>
        <v>174.135995730758</v>
      </c>
      <c r="M25">
        <v>138.47743034362799</v>
      </c>
      <c r="N25" s="79">
        <f t="shared" si="4"/>
        <v>138.47743034362799</v>
      </c>
      <c r="O25">
        <v>172.71019175648701</v>
      </c>
      <c r="P25" s="79">
        <f t="shared" si="5"/>
        <v>172.71019175648701</v>
      </c>
    </row>
    <row r="26" spans="1:17" x14ac:dyDescent="0.3">
      <c r="D26" s="80"/>
      <c r="E26" s="41">
        <v>145.24440430104701</v>
      </c>
      <c r="F26" s="79">
        <f t="shared" si="0"/>
        <v>145.24440430104701</v>
      </c>
      <c r="G26">
        <v>180.25959156453601</v>
      </c>
      <c r="H26" s="79">
        <f t="shared" si="1"/>
        <v>180.25959156453601</v>
      </c>
      <c r="I26">
        <v>148.15862104296701</v>
      </c>
      <c r="J26" s="79">
        <f t="shared" si="2"/>
        <v>148.15862104296701</v>
      </c>
      <c r="K26">
        <v>178.83378759026499</v>
      </c>
      <c r="L26" s="79">
        <f t="shared" si="3"/>
        <v>178.83378759026499</v>
      </c>
      <c r="M26">
        <v>180.25959156453601</v>
      </c>
      <c r="N26" s="79">
        <f t="shared" si="4"/>
        <v>180.25959156453601</v>
      </c>
      <c r="O26">
        <v>180.25959156453601</v>
      </c>
      <c r="P26" s="79">
        <f t="shared" si="5"/>
        <v>180.25959156453601</v>
      </c>
    </row>
    <row r="27" spans="1:17" x14ac:dyDescent="0.3">
      <c r="D27" s="80"/>
      <c r="E27" s="41">
        <v>0</v>
      </c>
      <c r="F27" s="79">
        <f t="shared" si="0"/>
        <v>0</v>
      </c>
      <c r="G27">
        <v>0</v>
      </c>
      <c r="H27" s="79">
        <f t="shared" si="1"/>
        <v>0</v>
      </c>
      <c r="I27">
        <v>0</v>
      </c>
      <c r="J27" s="79">
        <f t="shared" si="2"/>
        <v>0</v>
      </c>
      <c r="K27" s="32">
        <v>0</v>
      </c>
      <c r="L27" s="79">
        <f t="shared" si="3"/>
        <v>0</v>
      </c>
      <c r="M27" s="32">
        <v>0</v>
      </c>
      <c r="N27" s="79">
        <f t="shared" si="4"/>
        <v>0</v>
      </c>
      <c r="O27">
        <v>0</v>
      </c>
      <c r="P27" s="79">
        <f t="shared" si="5"/>
        <v>0</v>
      </c>
    </row>
    <row r="28" spans="1:17" x14ac:dyDescent="0.3">
      <c r="D28" s="80"/>
      <c r="E28" s="41">
        <v>0</v>
      </c>
      <c r="F28" s="79">
        <f t="shared" si="0"/>
        <v>0</v>
      </c>
      <c r="G28">
        <v>0</v>
      </c>
      <c r="H28" s="79">
        <f t="shared" si="1"/>
        <v>0</v>
      </c>
      <c r="I28">
        <v>0</v>
      </c>
      <c r="J28" s="79">
        <f t="shared" si="2"/>
        <v>0</v>
      </c>
      <c r="K28">
        <v>0</v>
      </c>
      <c r="L28" s="79">
        <f t="shared" si="3"/>
        <v>0</v>
      </c>
      <c r="M28">
        <v>0</v>
      </c>
      <c r="N28" s="79">
        <f t="shared" si="4"/>
        <v>0</v>
      </c>
      <c r="O28">
        <v>0</v>
      </c>
      <c r="P28" s="79">
        <f t="shared" si="5"/>
        <v>0</v>
      </c>
    </row>
    <row r="29" spans="1:17" x14ac:dyDescent="0.3">
      <c r="D29" s="80"/>
      <c r="E29" s="71">
        <v>0</v>
      </c>
      <c r="F29" s="79">
        <f t="shared" si="0"/>
        <v>0</v>
      </c>
      <c r="G29" s="71">
        <v>0</v>
      </c>
      <c r="H29" s="79">
        <f t="shared" si="1"/>
        <v>0</v>
      </c>
      <c r="I29">
        <v>0</v>
      </c>
      <c r="J29" s="79">
        <f t="shared" si="2"/>
        <v>0</v>
      </c>
      <c r="K29" s="32">
        <v>0</v>
      </c>
      <c r="L29" s="79">
        <f t="shared" si="3"/>
        <v>0</v>
      </c>
      <c r="M29">
        <v>0</v>
      </c>
      <c r="N29" s="79">
        <f t="shared" si="4"/>
        <v>0</v>
      </c>
      <c r="O29">
        <v>0</v>
      </c>
      <c r="P29" s="79">
        <f t="shared" si="5"/>
        <v>0</v>
      </c>
    </row>
    <row r="30" spans="1:17" x14ac:dyDescent="0.3">
      <c r="D30" s="80"/>
      <c r="E30">
        <v>0</v>
      </c>
      <c r="F30" s="79">
        <f t="shared" si="0"/>
        <v>0</v>
      </c>
      <c r="G30">
        <v>0</v>
      </c>
      <c r="H30" s="79">
        <f t="shared" si="1"/>
        <v>0</v>
      </c>
      <c r="I30">
        <v>0</v>
      </c>
      <c r="J30" s="79">
        <f t="shared" si="2"/>
        <v>0</v>
      </c>
      <c r="K30">
        <v>0</v>
      </c>
      <c r="L30" s="79">
        <f t="shared" si="3"/>
        <v>0</v>
      </c>
      <c r="M30">
        <v>0</v>
      </c>
      <c r="N30" s="79">
        <f t="shared" si="4"/>
        <v>0</v>
      </c>
      <c r="O30">
        <v>0</v>
      </c>
      <c r="P30" s="79">
        <f t="shared" si="5"/>
        <v>0</v>
      </c>
    </row>
    <row r="31" spans="1:17" x14ac:dyDescent="0.3">
      <c r="D31" s="80"/>
      <c r="E31" s="71">
        <v>0</v>
      </c>
      <c r="F31" s="79">
        <f t="shared" si="0"/>
        <v>0</v>
      </c>
      <c r="G31">
        <v>0</v>
      </c>
      <c r="H31" s="79">
        <f t="shared" si="1"/>
        <v>0</v>
      </c>
      <c r="I31">
        <v>0</v>
      </c>
      <c r="J31" s="79">
        <f t="shared" si="2"/>
        <v>0</v>
      </c>
      <c r="K31">
        <v>0</v>
      </c>
      <c r="L31" s="79">
        <f t="shared" si="3"/>
        <v>0</v>
      </c>
      <c r="M31">
        <v>0</v>
      </c>
      <c r="N31" s="79">
        <f t="shared" si="4"/>
        <v>0</v>
      </c>
      <c r="O31">
        <v>0</v>
      </c>
      <c r="P31" s="79">
        <f t="shared" si="5"/>
        <v>0</v>
      </c>
    </row>
    <row r="32" spans="1:17" x14ac:dyDescent="0.3">
      <c r="D32" s="80"/>
      <c r="E32" s="41">
        <v>0</v>
      </c>
      <c r="F32" s="79">
        <f t="shared" si="0"/>
        <v>0</v>
      </c>
      <c r="G32" s="71">
        <v>0</v>
      </c>
      <c r="H32" s="79">
        <f t="shared" si="1"/>
        <v>0</v>
      </c>
      <c r="I32" s="41">
        <v>0</v>
      </c>
      <c r="J32" s="79">
        <f t="shared" si="2"/>
        <v>0</v>
      </c>
      <c r="K32">
        <v>0</v>
      </c>
      <c r="L32" s="79">
        <f t="shared" si="3"/>
        <v>0</v>
      </c>
      <c r="M32">
        <v>0</v>
      </c>
      <c r="N32" s="79">
        <f t="shared" si="4"/>
        <v>0</v>
      </c>
      <c r="O32">
        <v>0</v>
      </c>
      <c r="P32" s="79">
        <f t="shared" si="5"/>
        <v>0</v>
      </c>
    </row>
    <row r="33" spans="4:16" x14ac:dyDescent="0.3">
      <c r="D33" s="80"/>
      <c r="E33" s="71">
        <v>0</v>
      </c>
      <c r="F33" s="79">
        <f t="shared" si="0"/>
        <v>0</v>
      </c>
      <c r="G33">
        <v>0</v>
      </c>
      <c r="H33" s="79">
        <f t="shared" si="1"/>
        <v>0</v>
      </c>
      <c r="I33">
        <v>0</v>
      </c>
      <c r="J33" s="79">
        <f t="shared" si="2"/>
        <v>0</v>
      </c>
      <c r="K33">
        <v>0</v>
      </c>
      <c r="L33" s="79">
        <f t="shared" si="3"/>
        <v>0</v>
      </c>
      <c r="M33">
        <v>0</v>
      </c>
      <c r="N33" s="79">
        <f t="shared" si="4"/>
        <v>0</v>
      </c>
      <c r="O33">
        <v>0</v>
      </c>
      <c r="P33" s="79">
        <f t="shared" si="5"/>
        <v>0</v>
      </c>
    </row>
    <row r="34" spans="4:16" x14ac:dyDescent="0.3">
      <c r="D34" s="80"/>
      <c r="E34" s="41">
        <v>0</v>
      </c>
      <c r="F34" s="79">
        <f t="shared" si="0"/>
        <v>0</v>
      </c>
      <c r="G34">
        <v>0</v>
      </c>
      <c r="H34" s="79">
        <f t="shared" si="1"/>
        <v>0</v>
      </c>
      <c r="I34">
        <v>0</v>
      </c>
      <c r="J34" s="79">
        <f t="shared" si="2"/>
        <v>0</v>
      </c>
      <c r="K34">
        <v>0</v>
      </c>
      <c r="L34" s="79">
        <f t="shared" si="3"/>
        <v>0</v>
      </c>
      <c r="M34">
        <v>0</v>
      </c>
      <c r="N34" s="79">
        <f t="shared" si="4"/>
        <v>0</v>
      </c>
      <c r="O34">
        <v>0</v>
      </c>
      <c r="P34" s="79">
        <f t="shared" si="5"/>
        <v>0</v>
      </c>
    </row>
    <row r="35" spans="4:16" x14ac:dyDescent="0.3">
      <c r="D35" s="80"/>
      <c r="E35">
        <v>0</v>
      </c>
      <c r="F35" s="79">
        <f t="shared" si="0"/>
        <v>0</v>
      </c>
      <c r="G35">
        <v>0</v>
      </c>
      <c r="H35" s="79">
        <f t="shared" si="1"/>
        <v>0</v>
      </c>
      <c r="I35" s="71">
        <v>0</v>
      </c>
      <c r="J35" s="79">
        <f t="shared" si="2"/>
        <v>0</v>
      </c>
      <c r="K35">
        <v>0</v>
      </c>
      <c r="L35" s="79">
        <f t="shared" si="3"/>
        <v>0</v>
      </c>
      <c r="M35">
        <v>0</v>
      </c>
      <c r="N35" s="79">
        <f t="shared" si="4"/>
        <v>0</v>
      </c>
      <c r="O35">
        <v>0</v>
      </c>
      <c r="P35" s="79">
        <f t="shared" si="5"/>
        <v>0</v>
      </c>
    </row>
    <row r="36" spans="4:16" ht="15" customHeight="1" x14ac:dyDescent="0.3">
      <c r="D36" s="80"/>
      <c r="E36" s="71">
        <v>0</v>
      </c>
      <c r="F36" s="79">
        <f t="shared" si="0"/>
        <v>0</v>
      </c>
      <c r="G36">
        <v>0</v>
      </c>
      <c r="H36" s="79">
        <f t="shared" si="1"/>
        <v>0</v>
      </c>
      <c r="I36">
        <v>0</v>
      </c>
      <c r="J36" s="79">
        <f t="shared" si="2"/>
        <v>0</v>
      </c>
      <c r="K36">
        <v>0</v>
      </c>
      <c r="L36" s="79">
        <f t="shared" si="3"/>
        <v>0</v>
      </c>
      <c r="M36">
        <v>0</v>
      </c>
      <c r="N36" s="79">
        <f t="shared" si="4"/>
        <v>0</v>
      </c>
      <c r="O36" s="32">
        <v>0</v>
      </c>
      <c r="P36" s="79">
        <f t="shared" si="5"/>
        <v>0</v>
      </c>
    </row>
    <row r="37" spans="4:16" x14ac:dyDescent="0.3">
      <c r="D37" s="80"/>
      <c r="E37" s="71">
        <v>0</v>
      </c>
      <c r="F37" s="79">
        <f t="shared" si="0"/>
        <v>0</v>
      </c>
      <c r="G37">
        <v>0</v>
      </c>
      <c r="H37" s="79">
        <f t="shared" si="1"/>
        <v>0</v>
      </c>
      <c r="I37">
        <v>0</v>
      </c>
      <c r="J37" s="79">
        <f t="shared" si="2"/>
        <v>0</v>
      </c>
      <c r="K37">
        <v>0</v>
      </c>
      <c r="L37" s="79">
        <f t="shared" si="3"/>
        <v>0</v>
      </c>
      <c r="M37" s="32">
        <v>0</v>
      </c>
      <c r="N37" s="79">
        <f t="shared" si="4"/>
        <v>0</v>
      </c>
      <c r="O37">
        <v>0</v>
      </c>
      <c r="P37" s="79">
        <f t="shared" si="5"/>
        <v>0</v>
      </c>
    </row>
    <row r="38" spans="4:16" x14ac:dyDescent="0.3">
      <c r="D38" s="80"/>
      <c r="E38" s="41">
        <v>0</v>
      </c>
      <c r="F38" s="79">
        <f t="shared" si="0"/>
        <v>0</v>
      </c>
      <c r="G38">
        <v>0</v>
      </c>
      <c r="H38" s="79">
        <f t="shared" si="1"/>
        <v>0</v>
      </c>
      <c r="I38">
        <v>0</v>
      </c>
      <c r="J38" s="79">
        <f t="shared" si="2"/>
        <v>0</v>
      </c>
      <c r="K38">
        <v>0</v>
      </c>
      <c r="L38" s="79">
        <f t="shared" si="3"/>
        <v>0</v>
      </c>
      <c r="M38">
        <v>0</v>
      </c>
      <c r="N38" s="79">
        <f t="shared" si="4"/>
        <v>0</v>
      </c>
      <c r="O38">
        <v>0</v>
      </c>
      <c r="P38" s="79">
        <f t="shared" si="5"/>
        <v>0</v>
      </c>
    </row>
    <row r="39" spans="4:16" x14ac:dyDescent="0.3">
      <c r="D39" s="80"/>
      <c r="E39" s="71">
        <v>0</v>
      </c>
      <c r="F39" s="79">
        <f t="shared" si="0"/>
        <v>0</v>
      </c>
      <c r="G39">
        <v>0</v>
      </c>
      <c r="H39" s="79">
        <f t="shared" si="1"/>
        <v>0</v>
      </c>
      <c r="I39" s="71">
        <v>0</v>
      </c>
      <c r="J39" s="79">
        <f t="shared" si="2"/>
        <v>0</v>
      </c>
      <c r="K39">
        <v>0</v>
      </c>
      <c r="L39" s="79">
        <f t="shared" si="3"/>
        <v>0</v>
      </c>
      <c r="M39">
        <v>0</v>
      </c>
      <c r="N39" s="79">
        <f t="shared" si="4"/>
        <v>0</v>
      </c>
      <c r="O39">
        <v>0</v>
      </c>
      <c r="P39" s="79">
        <f t="shared" si="5"/>
        <v>0</v>
      </c>
    </row>
    <row r="40" spans="4:16" x14ac:dyDescent="0.3">
      <c r="D40" s="80"/>
      <c r="E40">
        <v>0</v>
      </c>
      <c r="F40" s="79">
        <f t="shared" si="0"/>
        <v>0</v>
      </c>
      <c r="G40" s="71">
        <v>0</v>
      </c>
      <c r="H40" s="79">
        <f t="shared" si="1"/>
        <v>0</v>
      </c>
      <c r="I40">
        <v>0</v>
      </c>
      <c r="J40" s="79">
        <f t="shared" si="2"/>
        <v>0</v>
      </c>
      <c r="K40" s="32">
        <v>0</v>
      </c>
      <c r="L40" s="79">
        <f t="shared" si="3"/>
        <v>0</v>
      </c>
      <c r="M40" s="32">
        <v>0</v>
      </c>
      <c r="N40" s="79">
        <f t="shared" si="4"/>
        <v>0</v>
      </c>
      <c r="O40">
        <v>0</v>
      </c>
      <c r="P40" s="79">
        <f t="shared" si="5"/>
        <v>0</v>
      </c>
    </row>
    <row r="41" spans="4:16" x14ac:dyDescent="0.3">
      <c r="D41" s="80"/>
      <c r="E41" s="71">
        <v>0</v>
      </c>
      <c r="F41" s="79">
        <f t="shared" si="0"/>
        <v>0</v>
      </c>
      <c r="G41">
        <v>0</v>
      </c>
      <c r="H41" s="79">
        <f t="shared" si="1"/>
        <v>0</v>
      </c>
      <c r="I41">
        <v>0</v>
      </c>
      <c r="J41" s="79">
        <f t="shared" si="2"/>
        <v>0</v>
      </c>
      <c r="K41">
        <v>0</v>
      </c>
      <c r="L41" s="79">
        <f t="shared" si="3"/>
        <v>0</v>
      </c>
      <c r="M41">
        <v>0</v>
      </c>
      <c r="N41" s="79">
        <f t="shared" si="4"/>
        <v>0</v>
      </c>
      <c r="O41">
        <v>0</v>
      </c>
      <c r="P41" s="79">
        <f t="shared" si="5"/>
        <v>0</v>
      </c>
    </row>
    <row r="42" spans="4:16" x14ac:dyDescent="0.3">
      <c r="D42" s="80"/>
      <c r="E42">
        <v>0</v>
      </c>
      <c r="F42" s="79">
        <f t="shared" si="0"/>
        <v>0</v>
      </c>
      <c r="G42">
        <v>0</v>
      </c>
      <c r="H42" s="79">
        <f t="shared" si="1"/>
        <v>0</v>
      </c>
      <c r="I42">
        <v>0</v>
      </c>
      <c r="J42" s="79">
        <f t="shared" si="2"/>
        <v>0</v>
      </c>
      <c r="K42">
        <v>0</v>
      </c>
      <c r="L42" s="79">
        <f t="shared" si="3"/>
        <v>0</v>
      </c>
      <c r="M42">
        <v>0</v>
      </c>
      <c r="N42" s="79">
        <f t="shared" si="4"/>
        <v>0</v>
      </c>
      <c r="O42">
        <v>0</v>
      </c>
      <c r="P42" s="79">
        <f t="shared" si="5"/>
        <v>0</v>
      </c>
    </row>
    <row r="43" spans="4:16" x14ac:dyDescent="0.3">
      <c r="D43" s="80"/>
      <c r="E43">
        <v>0</v>
      </c>
      <c r="F43" s="79">
        <f t="shared" si="0"/>
        <v>0</v>
      </c>
      <c r="G43">
        <v>0</v>
      </c>
      <c r="H43" s="79">
        <f t="shared" si="1"/>
        <v>0</v>
      </c>
      <c r="I43">
        <v>0</v>
      </c>
      <c r="J43" s="79">
        <f t="shared" si="2"/>
        <v>0</v>
      </c>
      <c r="K43">
        <v>0</v>
      </c>
      <c r="L43" s="79">
        <f t="shared" si="3"/>
        <v>0</v>
      </c>
      <c r="M43" s="32">
        <v>0</v>
      </c>
      <c r="N43" s="79">
        <f t="shared" si="4"/>
        <v>0</v>
      </c>
      <c r="O43">
        <v>0</v>
      </c>
      <c r="P43" s="79">
        <f t="shared" si="5"/>
        <v>0</v>
      </c>
    </row>
    <row r="44" spans="4:16" x14ac:dyDescent="0.3">
      <c r="D44" s="80"/>
      <c r="E44" s="71">
        <v>0</v>
      </c>
      <c r="F44" s="79">
        <f t="shared" si="0"/>
        <v>0</v>
      </c>
      <c r="G44" s="71">
        <v>0</v>
      </c>
      <c r="H44" s="79">
        <f t="shared" si="1"/>
        <v>0</v>
      </c>
      <c r="I44">
        <v>0</v>
      </c>
      <c r="J44" s="79">
        <f t="shared" si="2"/>
        <v>0</v>
      </c>
      <c r="K44">
        <v>0</v>
      </c>
      <c r="L44" s="79">
        <f t="shared" si="3"/>
        <v>0</v>
      </c>
      <c r="M44">
        <v>0</v>
      </c>
      <c r="N44" s="79">
        <f t="shared" si="4"/>
        <v>0</v>
      </c>
      <c r="O44">
        <v>0</v>
      </c>
      <c r="P44" s="79">
        <f t="shared" si="5"/>
        <v>0</v>
      </c>
    </row>
    <row r="45" spans="4:16" x14ac:dyDescent="0.3">
      <c r="D45" s="80"/>
      <c r="E45" s="41">
        <v>0</v>
      </c>
      <c r="F45" s="79">
        <f t="shared" si="0"/>
        <v>0</v>
      </c>
      <c r="G45">
        <v>0</v>
      </c>
      <c r="H45" s="79">
        <f t="shared" si="1"/>
        <v>0</v>
      </c>
      <c r="I45">
        <v>0</v>
      </c>
      <c r="J45" s="79">
        <f t="shared" si="2"/>
        <v>0</v>
      </c>
      <c r="K45">
        <v>0</v>
      </c>
      <c r="L45" s="79">
        <f t="shared" si="3"/>
        <v>0</v>
      </c>
      <c r="M45">
        <v>0</v>
      </c>
      <c r="N45" s="79">
        <f t="shared" si="4"/>
        <v>0</v>
      </c>
      <c r="O45">
        <v>0</v>
      </c>
      <c r="P45" s="79">
        <f t="shared" si="5"/>
        <v>0</v>
      </c>
    </row>
    <row r="46" spans="4:16" x14ac:dyDescent="0.3">
      <c r="D46" s="80"/>
      <c r="E46">
        <v>0</v>
      </c>
      <c r="F46" s="79">
        <f t="shared" si="0"/>
        <v>0</v>
      </c>
      <c r="G46">
        <v>0</v>
      </c>
      <c r="H46" s="79">
        <f t="shared" si="1"/>
        <v>0</v>
      </c>
      <c r="I46">
        <v>0</v>
      </c>
      <c r="J46" s="79">
        <f t="shared" si="2"/>
        <v>0</v>
      </c>
      <c r="K46">
        <v>0</v>
      </c>
      <c r="L46" s="79">
        <f t="shared" si="3"/>
        <v>0</v>
      </c>
      <c r="M46">
        <v>0</v>
      </c>
      <c r="N46" s="79">
        <f t="shared" si="4"/>
        <v>0</v>
      </c>
      <c r="O46">
        <v>0</v>
      </c>
      <c r="P46" s="79">
        <f t="shared" si="5"/>
        <v>0</v>
      </c>
    </row>
    <row r="47" spans="4:16" x14ac:dyDescent="0.3">
      <c r="D47" s="80"/>
      <c r="E47" s="71">
        <v>0</v>
      </c>
      <c r="F47" s="79">
        <f t="shared" si="0"/>
        <v>0</v>
      </c>
      <c r="G47">
        <v>0</v>
      </c>
      <c r="H47" s="79">
        <f t="shared" si="1"/>
        <v>0</v>
      </c>
      <c r="I47">
        <v>0</v>
      </c>
      <c r="J47" s="79">
        <f t="shared" si="2"/>
        <v>0</v>
      </c>
      <c r="K47" s="32">
        <v>0</v>
      </c>
      <c r="L47" s="79">
        <f t="shared" si="3"/>
        <v>0</v>
      </c>
      <c r="M47">
        <v>0</v>
      </c>
      <c r="N47" s="79">
        <f t="shared" si="4"/>
        <v>0</v>
      </c>
      <c r="O47">
        <v>0</v>
      </c>
      <c r="P47" s="79">
        <f t="shared" si="5"/>
        <v>0</v>
      </c>
    </row>
    <row r="48" spans="4:16" x14ac:dyDescent="0.3">
      <c r="D48" s="80"/>
      <c r="E48" s="71">
        <v>0</v>
      </c>
      <c r="F48" s="79">
        <f t="shared" si="0"/>
        <v>0</v>
      </c>
      <c r="G48">
        <v>0</v>
      </c>
      <c r="H48" s="79">
        <f t="shared" si="1"/>
        <v>0</v>
      </c>
      <c r="I48">
        <v>0</v>
      </c>
      <c r="J48" s="79">
        <f t="shared" si="2"/>
        <v>0</v>
      </c>
      <c r="K48">
        <v>0</v>
      </c>
      <c r="L48" s="79">
        <f t="shared" si="3"/>
        <v>0</v>
      </c>
      <c r="M48">
        <v>0</v>
      </c>
      <c r="N48" s="79">
        <f t="shared" si="4"/>
        <v>0</v>
      </c>
      <c r="O48">
        <v>0</v>
      </c>
      <c r="P48" s="79">
        <f t="shared" si="5"/>
        <v>0</v>
      </c>
    </row>
    <row r="49" spans="4:16" x14ac:dyDescent="0.3">
      <c r="D49" s="80"/>
      <c r="E49" s="41">
        <v>0</v>
      </c>
      <c r="F49" s="79">
        <f t="shared" si="0"/>
        <v>0</v>
      </c>
      <c r="G49">
        <v>0</v>
      </c>
      <c r="H49" s="79">
        <f t="shared" si="1"/>
        <v>0</v>
      </c>
      <c r="I49">
        <v>0</v>
      </c>
      <c r="J49" s="79">
        <f t="shared" si="2"/>
        <v>0</v>
      </c>
      <c r="K49">
        <v>0</v>
      </c>
      <c r="L49" s="79">
        <f t="shared" si="3"/>
        <v>0</v>
      </c>
      <c r="M49">
        <v>0</v>
      </c>
      <c r="N49" s="79">
        <f t="shared" si="4"/>
        <v>0</v>
      </c>
      <c r="O49" s="32">
        <v>0</v>
      </c>
      <c r="P49" s="79">
        <f t="shared" si="5"/>
        <v>0</v>
      </c>
    </row>
    <row r="50" spans="4:16" x14ac:dyDescent="0.3">
      <c r="D50" s="80"/>
      <c r="E50" s="41">
        <v>0</v>
      </c>
      <c r="F50" s="79">
        <f t="shared" si="0"/>
        <v>0</v>
      </c>
      <c r="G50">
        <v>0</v>
      </c>
      <c r="H50" s="79">
        <f t="shared" si="1"/>
        <v>0</v>
      </c>
      <c r="I50">
        <v>0</v>
      </c>
      <c r="J50" s="79">
        <f t="shared" si="2"/>
        <v>0</v>
      </c>
      <c r="K50">
        <v>0</v>
      </c>
      <c r="L50" s="79">
        <f t="shared" si="3"/>
        <v>0</v>
      </c>
      <c r="M50">
        <v>0</v>
      </c>
      <c r="N50" s="79">
        <f t="shared" si="4"/>
        <v>0</v>
      </c>
      <c r="O50">
        <v>0</v>
      </c>
      <c r="P50" s="79">
        <f t="shared" si="5"/>
        <v>0</v>
      </c>
    </row>
    <row r="51" spans="4:16" x14ac:dyDescent="0.3">
      <c r="D51" s="80"/>
      <c r="E51" s="71">
        <v>0</v>
      </c>
      <c r="F51" s="79">
        <f t="shared" si="0"/>
        <v>0</v>
      </c>
      <c r="G51" s="41">
        <v>0</v>
      </c>
      <c r="H51" s="79">
        <f t="shared" si="1"/>
        <v>0</v>
      </c>
      <c r="I51" s="71">
        <v>0</v>
      </c>
      <c r="J51" s="79">
        <f t="shared" si="2"/>
        <v>0</v>
      </c>
      <c r="K51">
        <v>0</v>
      </c>
      <c r="L51" s="79">
        <f t="shared" si="3"/>
        <v>0</v>
      </c>
      <c r="M51">
        <v>0</v>
      </c>
      <c r="N51" s="79">
        <f t="shared" si="4"/>
        <v>0</v>
      </c>
      <c r="O51">
        <v>0</v>
      </c>
      <c r="P51" s="79">
        <f t="shared" si="5"/>
        <v>0</v>
      </c>
    </row>
    <row r="52" spans="4:16" x14ac:dyDescent="0.3">
      <c r="D52" s="80"/>
      <c r="E52" s="41">
        <v>0</v>
      </c>
      <c r="F52" s="79">
        <f t="shared" si="0"/>
        <v>0</v>
      </c>
      <c r="G52">
        <v>0</v>
      </c>
      <c r="H52" s="79">
        <f t="shared" si="1"/>
        <v>0</v>
      </c>
      <c r="I52">
        <v>0</v>
      </c>
      <c r="J52" s="79">
        <f t="shared" si="2"/>
        <v>0</v>
      </c>
      <c r="K52">
        <v>0</v>
      </c>
      <c r="L52" s="79">
        <f t="shared" si="3"/>
        <v>0</v>
      </c>
      <c r="M52">
        <v>0</v>
      </c>
      <c r="N52" s="79">
        <f t="shared" si="4"/>
        <v>0</v>
      </c>
      <c r="O52" s="32">
        <v>0</v>
      </c>
      <c r="P52" s="79">
        <f t="shared" si="5"/>
        <v>0</v>
      </c>
    </row>
    <row r="53" spans="4:16" x14ac:dyDescent="0.3">
      <c r="D53" s="80"/>
      <c r="E53" s="41">
        <v>0</v>
      </c>
      <c r="F53" s="79">
        <f t="shared" si="0"/>
        <v>0</v>
      </c>
      <c r="G53">
        <v>0</v>
      </c>
      <c r="H53" s="79">
        <f t="shared" si="1"/>
        <v>0</v>
      </c>
      <c r="I53">
        <v>0</v>
      </c>
      <c r="J53" s="79">
        <f t="shared" si="2"/>
        <v>0</v>
      </c>
      <c r="K53">
        <v>0</v>
      </c>
      <c r="L53" s="79">
        <f t="shared" si="3"/>
        <v>0</v>
      </c>
      <c r="M53">
        <v>0</v>
      </c>
      <c r="N53" s="79">
        <f t="shared" si="4"/>
        <v>0</v>
      </c>
      <c r="O53">
        <v>0</v>
      </c>
      <c r="P53" s="79">
        <f t="shared" si="5"/>
        <v>0</v>
      </c>
    </row>
    <row r="54" spans="4:16" x14ac:dyDescent="0.3">
      <c r="D54" s="80"/>
      <c r="E54">
        <v>0</v>
      </c>
      <c r="F54" s="79">
        <f t="shared" si="0"/>
        <v>0</v>
      </c>
      <c r="G54">
        <v>0</v>
      </c>
      <c r="H54" s="79">
        <f t="shared" si="1"/>
        <v>0</v>
      </c>
      <c r="I54">
        <v>0</v>
      </c>
      <c r="J54" s="79">
        <f t="shared" si="2"/>
        <v>0</v>
      </c>
      <c r="K54">
        <v>0</v>
      </c>
      <c r="L54" s="79">
        <f t="shared" si="3"/>
        <v>0</v>
      </c>
      <c r="M54">
        <v>0</v>
      </c>
      <c r="N54" s="79">
        <f t="shared" si="4"/>
        <v>0</v>
      </c>
      <c r="O54">
        <v>0</v>
      </c>
      <c r="P54" s="79">
        <f t="shared" si="5"/>
        <v>0</v>
      </c>
    </row>
    <row r="55" spans="4:16" x14ac:dyDescent="0.3">
      <c r="D55" s="80"/>
      <c r="E55" s="41">
        <v>0</v>
      </c>
      <c r="F55" s="79">
        <f t="shared" si="0"/>
        <v>0</v>
      </c>
      <c r="G55">
        <v>0</v>
      </c>
      <c r="H55" s="79">
        <f t="shared" si="1"/>
        <v>0</v>
      </c>
      <c r="I55" s="71">
        <v>0</v>
      </c>
      <c r="J55" s="79">
        <f t="shared" si="2"/>
        <v>0</v>
      </c>
      <c r="K55">
        <v>0</v>
      </c>
      <c r="L55" s="79">
        <f t="shared" si="3"/>
        <v>0</v>
      </c>
      <c r="M55" s="32">
        <v>0</v>
      </c>
      <c r="N55" s="79">
        <f t="shared" si="4"/>
        <v>0</v>
      </c>
      <c r="O55" s="32">
        <v>0</v>
      </c>
      <c r="P55" s="79">
        <f t="shared" si="5"/>
        <v>0</v>
      </c>
    </row>
    <row r="56" spans="4:16" ht="15" customHeight="1" x14ac:dyDescent="0.3">
      <c r="D56" s="80"/>
      <c r="E56" s="41">
        <v>0</v>
      </c>
      <c r="F56" s="79">
        <f t="shared" si="0"/>
        <v>0</v>
      </c>
      <c r="G56">
        <v>0</v>
      </c>
      <c r="H56" s="79">
        <f t="shared" si="1"/>
        <v>0</v>
      </c>
      <c r="I56">
        <v>0</v>
      </c>
      <c r="J56" s="79">
        <f t="shared" si="2"/>
        <v>0</v>
      </c>
      <c r="K56">
        <v>0</v>
      </c>
      <c r="L56" s="79">
        <f t="shared" si="3"/>
        <v>0</v>
      </c>
      <c r="M56" s="32">
        <v>0</v>
      </c>
      <c r="N56" s="79">
        <f t="shared" si="4"/>
        <v>0</v>
      </c>
      <c r="O56">
        <v>0</v>
      </c>
      <c r="P56" s="79">
        <f t="shared" si="5"/>
        <v>0</v>
      </c>
    </row>
    <row r="57" spans="4:16" ht="15" customHeight="1" x14ac:dyDescent="0.3">
      <c r="D57" s="80"/>
      <c r="E57" s="71">
        <v>0</v>
      </c>
      <c r="F57" s="79">
        <f t="shared" si="0"/>
        <v>0</v>
      </c>
      <c r="G57">
        <v>0</v>
      </c>
      <c r="H57" s="79">
        <f t="shared" si="1"/>
        <v>0</v>
      </c>
      <c r="I57">
        <v>0</v>
      </c>
      <c r="J57" s="79">
        <f t="shared" si="2"/>
        <v>0</v>
      </c>
      <c r="K57">
        <v>0</v>
      </c>
      <c r="L57" s="79">
        <f t="shared" si="3"/>
        <v>0</v>
      </c>
      <c r="M57">
        <v>0</v>
      </c>
      <c r="N57" s="79">
        <f t="shared" si="4"/>
        <v>0</v>
      </c>
      <c r="O57">
        <v>0</v>
      </c>
      <c r="P57" s="79">
        <f t="shared" si="5"/>
        <v>0</v>
      </c>
    </row>
    <row r="58" spans="4:16" x14ac:dyDescent="0.3">
      <c r="D58" s="80"/>
      <c r="E58">
        <v>0</v>
      </c>
      <c r="F58" s="79">
        <f t="shared" si="0"/>
        <v>0</v>
      </c>
      <c r="G58">
        <v>0</v>
      </c>
      <c r="H58" s="79">
        <f t="shared" si="1"/>
        <v>0</v>
      </c>
      <c r="I58">
        <v>0</v>
      </c>
      <c r="J58" s="79">
        <f t="shared" si="2"/>
        <v>0</v>
      </c>
      <c r="K58">
        <v>0</v>
      </c>
      <c r="L58" s="79">
        <f t="shared" si="3"/>
        <v>0</v>
      </c>
      <c r="M58">
        <v>0</v>
      </c>
      <c r="N58" s="79">
        <f t="shared" si="4"/>
        <v>0</v>
      </c>
      <c r="O58">
        <v>0</v>
      </c>
      <c r="P58" s="79">
        <f t="shared" si="5"/>
        <v>0</v>
      </c>
    </row>
    <row r="59" spans="4:16" x14ac:dyDescent="0.3">
      <c r="D59" s="80"/>
      <c r="E59" s="71">
        <v>0</v>
      </c>
      <c r="F59" s="79">
        <f t="shared" si="0"/>
        <v>0</v>
      </c>
      <c r="G59">
        <v>0</v>
      </c>
      <c r="H59" s="79">
        <f t="shared" si="1"/>
        <v>0</v>
      </c>
      <c r="I59">
        <v>0</v>
      </c>
      <c r="J59" s="79">
        <f t="shared" si="2"/>
        <v>0</v>
      </c>
      <c r="K59">
        <v>0</v>
      </c>
      <c r="L59" s="79">
        <f t="shared" si="3"/>
        <v>0</v>
      </c>
      <c r="M59">
        <v>0</v>
      </c>
      <c r="N59" s="79">
        <f t="shared" si="4"/>
        <v>0</v>
      </c>
      <c r="O59">
        <v>0</v>
      </c>
      <c r="P59" s="79">
        <f t="shared" si="5"/>
        <v>0</v>
      </c>
    </row>
    <row r="60" spans="4:16" x14ac:dyDescent="0.3">
      <c r="D60" s="80"/>
      <c r="E60" s="71">
        <v>0</v>
      </c>
      <c r="F60" s="79">
        <f t="shared" si="0"/>
        <v>0</v>
      </c>
      <c r="G60">
        <v>0</v>
      </c>
      <c r="H60" s="79">
        <f t="shared" si="1"/>
        <v>0</v>
      </c>
      <c r="I60">
        <v>0</v>
      </c>
      <c r="J60" s="79">
        <f t="shared" si="2"/>
        <v>0</v>
      </c>
      <c r="K60">
        <v>0</v>
      </c>
      <c r="L60" s="79">
        <f t="shared" si="3"/>
        <v>0</v>
      </c>
      <c r="M60">
        <v>0</v>
      </c>
      <c r="N60" s="79">
        <f t="shared" si="4"/>
        <v>0</v>
      </c>
      <c r="O60" s="32">
        <v>0</v>
      </c>
      <c r="P60" s="79">
        <f t="shared" si="5"/>
        <v>0</v>
      </c>
    </row>
    <row r="61" spans="4:16" x14ac:dyDescent="0.3">
      <c r="D61" s="80"/>
      <c r="E61">
        <v>0</v>
      </c>
      <c r="F61" s="79">
        <f t="shared" si="0"/>
        <v>0</v>
      </c>
      <c r="G61">
        <v>0</v>
      </c>
      <c r="H61" s="79">
        <f t="shared" si="1"/>
        <v>0</v>
      </c>
      <c r="I61">
        <v>0</v>
      </c>
      <c r="J61" s="79">
        <f t="shared" si="2"/>
        <v>0</v>
      </c>
      <c r="K61">
        <v>0</v>
      </c>
      <c r="L61" s="79">
        <f t="shared" si="3"/>
        <v>0</v>
      </c>
      <c r="M61">
        <v>0</v>
      </c>
      <c r="N61" s="79">
        <f t="shared" si="4"/>
        <v>0</v>
      </c>
      <c r="O61">
        <v>0</v>
      </c>
      <c r="P61" s="79">
        <f t="shared" si="5"/>
        <v>0</v>
      </c>
    </row>
    <row r="62" spans="4:16" x14ac:dyDescent="0.3">
      <c r="D62" s="80"/>
      <c r="E62" s="41">
        <v>0</v>
      </c>
      <c r="F62" s="79">
        <f t="shared" si="0"/>
        <v>0</v>
      </c>
      <c r="G62">
        <v>0</v>
      </c>
      <c r="H62" s="79">
        <f t="shared" si="1"/>
        <v>0</v>
      </c>
      <c r="I62">
        <v>0</v>
      </c>
      <c r="J62" s="79">
        <f t="shared" si="2"/>
        <v>0</v>
      </c>
      <c r="K62">
        <v>0</v>
      </c>
      <c r="L62" s="79">
        <f t="shared" si="3"/>
        <v>0</v>
      </c>
      <c r="M62" s="32">
        <v>0</v>
      </c>
      <c r="N62" s="79">
        <f t="shared" si="4"/>
        <v>0</v>
      </c>
      <c r="O62">
        <v>0</v>
      </c>
      <c r="P62" s="79">
        <f t="shared" si="5"/>
        <v>0</v>
      </c>
    </row>
    <row r="63" spans="4:16" x14ac:dyDescent="0.3">
      <c r="D63" s="80"/>
      <c r="E63" s="71">
        <v>0</v>
      </c>
      <c r="F63" s="79">
        <f t="shared" si="0"/>
        <v>0</v>
      </c>
      <c r="G63">
        <v>0</v>
      </c>
      <c r="H63" s="79">
        <f t="shared" si="1"/>
        <v>0</v>
      </c>
      <c r="I63">
        <v>0</v>
      </c>
      <c r="J63" s="79">
        <f t="shared" si="2"/>
        <v>0</v>
      </c>
      <c r="K63">
        <v>0</v>
      </c>
      <c r="L63" s="79">
        <f t="shared" si="3"/>
        <v>0</v>
      </c>
      <c r="M63">
        <v>0</v>
      </c>
      <c r="N63" s="79">
        <f t="shared" si="4"/>
        <v>0</v>
      </c>
      <c r="O63">
        <v>0</v>
      </c>
      <c r="P63" s="79">
        <f t="shared" si="5"/>
        <v>0</v>
      </c>
    </row>
    <row r="64" spans="4:16" x14ac:dyDescent="0.3">
      <c r="D64" s="80"/>
      <c r="E64" s="41">
        <v>0</v>
      </c>
      <c r="F64" s="79">
        <f t="shared" si="0"/>
        <v>0</v>
      </c>
      <c r="G64">
        <v>0</v>
      </c>
      <c r="H64" s="79">
        <f t="shared" si="1"/>
        <v>0</v>
      </c>
      <c r="I64" s="41">
        <v>0</v>
      </c>
      <c r="J64" s="79">
        <f t="shared" si="2"/>
        <v>0</v>
      </c>
      <c r="K64">
        <v>0</v>
      </c>
      <c r="L64" s="79">
        <f t="shared" si="3"/>
        <v>0</v>
      </c>
      <c r="M64" s="32">
        <v>0</v>
      </c>
      <c r="N64" s="79">
        <f t="shared" si="4"/>
        <v>0</v>
      </c>
      <c r="O64">
        <v>0</v>
      </c>
      <c r="P64" s="79">
        <f t="shared" si="5"/>
        <v>0</v>
      </c>
    </row>
    <row r="65" spans="4:16" x14ac:dyDescent="0.3">
      <c r="D65" s="80"/>
      <c r="E65" s="41">
        <v>0</v>
      </c>
      <c r="F65" s="79">
        <f t="shared" si="0"/>
        <v>0</v>
      </c>
      <c r="G65">
        <v>0</v>
      </c>
      <c r="H65" s="79">
        <f t="shared" si="1"/>
        <v>0</v>
      </c>
      <c r="I65">
        <v>0</v>
      </c>
      <c r="J65" s="79">
        <f t="shared" si="2"/>
        <v>0</v>
      </c>
      <c r="K65">
        <v>0</v>
      </c>
      <c r="L65" s="79">
        <f t="shared" si="3"/>
        <v>0</v>
      </c>
      <c r="M65">
        <v>0</v>
      </c>
      <c r="N65" s="79">
        <f t="shared" si="4"/>
        <v>0</v>
      </c>
      <c r="O65">
        <v>0</v>
      </c>
      <c r="P65" s="79">
        <f t="shared" si="5"/>
        <v>0</v>
      </c>
    </row>
    <row r="66" spans="4:16" ht="15" customHeight="1" x14ac:dyDescent="0.3">
      <c r="D66" s="80"/>
      <c r="E66">
        <v>0</v>
      </c>
      <c r="F66" s="79">
        <f t="shared" si="0"/>
        <v>0</v>
      </c>
      <c r="G66">
        <v>0</v>
      </c>
      <c r="H66" s="79">
        <f t="shared" si="1"/>
        <v>0</v>
      </c>
      <c r="I66">
        <v>0</v>
      </c>
      <c r="J66" s="79">
        <f t="shared" si="2"/>
        <v>0</v>
      </c>
      <c r="K66">
        <v>0</v>
      </c>
      <c r="L66" s="79">
        <f t="shared" si="3"/>
        <v>0</v>
      </c>
      <c r="M66">
        <v>0</v>
      </c>
      <c r="N66" s="79">
        <f t="shared" si="4"/>
        <v>0</v>
      </c>
      <c r="O66">
        <v>0</v>
      </c>
      <c r="P66" s="79">
        <f t="shared" si="5"/>
        <v>0</v>
      </c>
    </row>
    <row r="67" spans="4:16" x14ac:dyDescent="0.3">
      <c r="D67" s="80"/>
      <c r="E67" s="41">
        <v>0</v>
      </c>
      <c r="F67" s="79">
        <f t="shared" si="0"/>
        <v>0</v>
      </c>
      <c r="G67">
        <v>0</v>
      </c>
      <c r="H67" s="79">
        <f t="shared" si="1"/>
        <v>0</v>
      </c>
      <c r="I67">
        <v>0</v>
      </c>
      <c r="J67" s="79">
        <f t="shared" si="2"/>
        <v>0</v>
      </c>
      <c r="K67">
        <v>0</v>
      </c>
      <c r="L67" s="79">
        <f t="shared" si="3"/>
        <v>0</v>
      </c>
      <c r="M67">
        <v>0</v>
      </c>
      <c r="N67" s="79">
        <f t="shared" si="4"/>
        <v>0</v>
      </c>
      <c r="O67">
        <v>0</v>
      </c>
      <c r="P67" s="79">
        <f t="shared" si="5"/>
        <v>0</v>
      </c>
    </row>
    <row r="68" spans="4:16" x14ac:dyDescent="0.3">
      <c r="D68" s="80"/>
      <c r="E68" s="71">
        <v>0</v>
      </c>
      <c r="F68" s="79">
        <f t="shared" si="0"/>
        <v>0</v>
      </c>
      <c r="G68">
        <v>0</v>
      </c>
      <c r="H68" s="79">
        <f t="shared" si="1"/>
        <v>0</v>
      </c>
      <c r="I68">
        <v>0</v>
      </c>
      <c r="J68" s="79">
        <f t="shared" si="2"/>
        <v>0</v>
      </c>
      <c r="K68">
        <v>0</v>
      </c>
      <c r="L68" s="79">
        <f t="shared" si="3"/>
        <v>0</v>
      </c>
      <c r="M68">
        <v>0</v>
      </c>
      <c r="N68" s="79">
        <f t="shared" si="4"/>
        <v>0</v>
      </c>
      <c r="O68" s="32">
        <v>0</v>
      </c>
      <c r="P68" s="79">
        <f t="shared" si="5"/>
        <v>0</v>
      </c>
    </row>
    <row r="69" spans="4:16" x14ac:dyDescent="0.3">
      <c r="D69" s="80"/>
      <c r="E69" s="71">
        <v>0</v>
      </c>
      <c r="F69" s="79">
        <f t="shared" si="0"/>
        <v>0</v>
      </c>
      <c r="G69">
        <v>0</v>
      </c>
      <c r="H69" s="79">
        <f t="shared" si="1"/>
        <v>0</v>
      </c>
      <c r="I69">
        <v>0</v>
      </c>
      <c r="J69" s="79">
        <f t="shared" si="2"/>
        <v>0</v>
      </c>
      <c r="K69">
        <v>0</v>
      </c>
      <c r="L69" s="79">
        <f t="shared" si="3"/>
        <v>0</v>
      </c>
      <c r="M69">
        <v>0</v>
      </c>
      <c r="N69" s="79">
        <f t="shared" si="4"/>
        <v>0</v>
      </c>
      <c r="O69" s="32">
        <v>0</v>
      </c>
      <c r="P69" s="79">
        <f t="shared" si="5"/>
        <v>0</v>
      </c>
    </row>
    <row r="70" spans="4:16" x14ac:dyDescent="0.3">
      <c r="D70" s="80"/>
      <c r="E70" s="41">
        <v>0</v>
      </c>
      <c r="F70" s="79">
        <f t="shared" si="0"/>
        <v>0</v>
      </c>
      <c r="G70">
        <v>0</v>
      </c>
      <c r="H70" s="79">
        <f t="shared" si="1"/>
        <v>0</v>
      </c>
      <c r="I70">
        <v>0</v>
      </c>
      <c r="J70" s="79">
        <f t="shared" si="2"/>
        <v>0</v>
      </c>
      <c r="K70">
        <v>0</v>
      </c>
      <c r="L70" s="79">
        <f t="shared" si="3"/>
        <v>0</v>
      </c>
      <c r="M70">
        <v>0</v>
      </c>
      <c r="N70" s="79">
        <f t="shared" si="4"/>
        <v>0</v>
      </c>
      <c r="O70">
        <v>0</v>
      </c>
      <c r="P70" s="79">
        <f t="shared" si="5"/>
        <v>0</v>
      </c>
    </row>
    <row r="71" spans="4:16" x14ac:dyDescent="0.3">
      <c r="D71" s="80"/>
      <c r="E71">
        <v>0</v>
      </c>
      <c r="F71" s="79">
        <f t="shared" si="0"/>
        <v>0</v>
      </c>
      <c r="G71" s="71">
        <v>0</v>
      </c>
      <c r="H71" s="79">
        <f t="shared" si="1"/>
        <v>0</v>
      </c>
      <c r="I71">
        <v>0</v>
      </c>
      <c r="J71" s="79">
        <f t="shared" si="2"/>
        <v>0</v>
      </c>
      <c r="K71">
        <v>0</v>
      </c>
      <c r="L71" s="79">
        <f t="shared" si="3"/>
        <v>0</v>
      </c>
      <c r="M71">
        <v>0</v>
      </c>
      <c r="N71" s="79">
        <f t="shared" si="4"/>
        <v>0</v>
      </c>
      <c r="O71">
        <v>0</v>
      </c>
      <c r="P71" s="79">
        <f t="shared" si="5"/>
        <v>0</v>
      </c>
    </row>
    <row r="72" spans="4:16" x14ac:dyDescent="0.3">
      <c r="D72" s="80"/>
      <c r="E72" s="71">
        <v>0</v>
      </c>
      <c r="F72" s="79">
        <f t="shared" ref="F72:F104" si="6">E72*$C$3</f>
        <v>0</v>
      </c>
      <c r="G72">
        <v>0</v>
      </c>
      <c r="H72" s="79">
        <f t="shared" ref="H72:H104" si="7">G72*$C$3</f>
        <v>0</v>
      </c>
      <c r="I72">
        <v>0</v>
      </c>
      <c r="J72" s="79">
        <f t="shared" ref="J72:J104" si="8">I72*$C$3</f>
        <v>0</v>
      </c>
      <c r="K72" s="32">
        <v>0</v>
      </c>
      <c r="L72" s="79">
        <f t="shared" ref="L72:L104" si="9">K72*$C$3</f>
        <v>0</v>
      </c>
      <c r="M72">
        <v>0</v>
      </c>
      <c r="N72" s="79">
        <f t="shared" ref="N72:N104" si="10">M72*$C$3</f>
        <v>0</v>
      </c>
      <c r="O72">
        <v>0</v>
      </c>
      <c r="P72" s="79">
        <f t="shared" ref="P72:P104" si="11">O72*$C$3</f>
        <v>0</v>
      </c>
    </row>
    <row r="73" spans="4:16" x14ac:dyDescent="0.3">
      <c r="D73" s="80"/>
      <c r="E73" s="41">
        <v>0</v>
      </c>
      <c r="F73" s="79">
        <f t="shared" si="6"/>
        <v>0</v>
      </c>
      <c r="G73" s="41">
        <v>0</v>
      </c>
      <c r="H73" s="79">
        <f t="shared" si="7"/>
        <v>0</v>
      </c>
      <c r="I73">
        <v>0</v>
      </c>
      <c r="J73" s="79">
        <f t="shared" si="8"/>
        <v>0</v>
      </c>
      <c r="K73">
        <v>0</v>
      </c>
      <c r="L73" s="79">
        <f t="shared" si="9"/>
        <v>0</v>
      </c>
      <c r="M73">
        <v>0</v>
      </c>
      <c r="N73" s="79">
        <f t="shared" si="10"/>
        <v>0</v>
      </c>
      <c r="O73">
        <v>0</v>
      </c>
      <c r="P73" s="79">
        <f t="shared" si="11"/>
        <v>0</v>
      </c>
    </row>
    <row r="74" spans="4:16" x14ac:dyDescent="0.3">
      <c r="D74" s="80"/>
      <c r="E74" s="41">
        <v>0</v>
      </c>
      <c r="F74" s="79">
        <f t="shared" si="6"/>
        <v>0</v>
      </c>
      <c r="G74" s="41">
        <v>0</v>
      </c>
      <c r="H74" s="79">
        <f t="shared" si="7"/>
        <v>0</v>
      </c>
      <c r="I74">
        <v>0</v>
      </c>
      <c r="J74" s="79">
        <f t="shared" si="8"/>
        <v>0</v>
      </c>
      <c r="K74">
        <v>0</v>
      </c>
      <c r="L74" s="79">
        <f t="shared" si="9"/>
        <v>0</v>
      </c>
      <c r="M74" s="32">
        <v>0</v>
      </c>
      <c r="N74" s="79">
        <f t="shared" si="10"/>
        <v>0</v>
      </c>
      <c r="O74">
        <v>0</v>
      </c>
      <c r="P74" s="79">
        <f t="shared" si="11"/>
        <v>0</v>
      </c>
    </row>
    <row r="75" spans="4:16" x14ac:dyDescent="0.3">
      <c r="D75" s="80"/>
      <c r="E75" s="41">
        <v>0</v>
      </c>
      <c r="F75" s="79">
        <f t="shared" si="6"/>
        <v>0</v>
      </c>
      <c r="G75">
        <v>0</v>
      </c>
      <c r="H75" s="79">
        <f t="shared" si="7"/>
        <v>0</v>
      </c>
      <c r="I75">
        <v>0</v>
      </c>
      <c r="J75" s="79">
        <f t="shared" si="8"/>
        <v>0</v>
      </c>
      <c r="K75">
        <v>0</v>
      </c>
      <c r="L75" s="79">
        <f t="shared" si="9"/>
        <v>0</v>
      </c>
      <c r="M75" s="32">
        <v>0</v>
      </c>
      <c r="N75" s="79">
        <f t="shared" si="10"/>
        <v>0</v>
      </c>
      <c r="O75">
        <v>0</v>
      </c>
      <c r="P75" s="79">
        <f t="shared" si="11"/>
        <v>0</v>
      </c>
    </row>
    <row r="76" spans="4:16" x14ac:dyDescent="0.3">
      <c r="D76" s="80"/>
      <c r="E76">
        <v>0</v>
      </c>
      <c r="F76" s="79">
        <f t="shared" si="6"/>
        <v>0</v>
      </c>
      <c r="G76">
        <v>0</v>
      </c>
      <c r="H76" s="79">
        <f t="shared" si="7"/>
        <v>0</v>
      </c>
      <c r="I76" s="41">
        <v>0</v>
      </c>
      <c r="J76" s="79">
        <f t="shared" si="8"/>
        <v>0</v>
      </c>
      <c r="K76">
        <v>0</v>
      </c>
      <c r="L76" s="79">
        <f t="shared" si="9"/>
        <v>0</v>
      </c>
      <c r="M76">
        <v>0</v>
      </c>
      <c r="N76" s="79">
        <f t="shared" si="10"/>
        <v>0</v>
      </c>
      <c r="O76">
        <v>0</v>
      </c>
      <c r="P76" s="79">
        <f t="shared" si="11"/>
        <v>0</v>
      </c>
    </row>
    <row r="77" spans="4:16" x14ac:dyDescent="0.3">
      <c r="D77" s="80"/>
      <c r="E77" s="41">
        <v>0</v>
      </c>
      <c r="F77" s="79">
        <f t="shared" si="6"/>
        <v>0</v>
      </c>
      <c r="G77">
        <v>0</v>
      </c>
      <c r="H77" s="79">
        <f t="shared" si="7"/>
        <v>0</v>
      </c>
      <c r="I77">
        <v>0</v>
      </c>
      <c r="J77" s="79">
        <f t="shared" si="8"/>
        <v>0</v>
      </c>
      <c r="K77" s="32">
        <v>0</v>
      </c>
      <c r="L77" s="79">
        <f t="shared" si="9"/>
        <v>0</v>
      </c>
      <c r="M77">
        <v>0</v>
      </c>
      <c r="N77" s="79">
        <f t="shared" si="10"/>
        <v>0</v>
      </c>
      <c r="O77">
        <v>0</v>
      </c>
      <c r="P77" s="79">
        <f t="shared" si="11"/>
        <v>0</v>
      </c>
    </row>
    <row r="78" spans="4:16" x14ac:dyDescent="0.3">
      <c r="D78" s="80"/>
      <c r="E78" s="41">
        <v>0</v>
      </c>
      <c r="F78" s="79">
        <f t="shared" si="6"/>
        <v>0</v>
      </c>
      <c r="G78">
        <v>0</v>
      </c>
      <c r="H78" s="79">
        <f t="shared" si="7"/>
        <v>0</v>
      </c>
      <c r="I78">
        <v>0</v>
      </c>
      <c r="J78" s="79">
        <f t="shared" si="8"/>
        <v>0</v>
      </c>
      <c r="K78">
        <v>0</v>
      </c>
      <c r="L78" s="79">
        <f t="shared" si="9"/>
        <v>0</v>
      </c>
      <c r="M78">
        <v>0</v>
      </c>
      <c r="N78" s="79">
        <f t="shared" si="10"/>
        <v>0</v>
      </c>
      <c r="O78">
        <v>0</v>
      </c>
      <c r="P78" s="79">
        <f t="shared" si="11"/>
        <v>0</v>
      </c>
    </row>
    <row r="79" spans="4:16" x14ac:dyDescent="0.3">
      <c r="D79" s="80"/>
      <c r="E79" s="41">
        <v>0</v>
      </c>
      <c r="F79" s="79">
        <f t="shared" si="6"/>
        <v>0</v>
      </c>
      <c r="G79">
        <v>0</v>
      </c>
      <c r="H79" s="79">
        <f t="shared" si="7"/>
        <v>0</v>
      </c>
      <c r="I79">
        <v>0</v>
      </c>
      <c r="J79" s="79">
        <f t="shared" si="8"/>
        <v>0</v>
      </c>
      <c r="K79">
        <v>0</v>
      </c>
      <c r="L79" s="79">
        <f t="shared" si="9"/>
        <v>0</v>
      </c>
      <c r="M79">
        <v>0</v>
      </c>
      <c r="N79" s="79">
        <f t="shared" si="10"/>
        <v>0</v>
      </c>
      <c r="O79">
        <v>0</v>
      </c>
      <c r="P79" s="79">
        <f t="shared" si="11"/>
        <v>0</v>
      </c>
    </row>
    <row r="80" spans="4:16" x14ac:dyDescent="0.3">
      <c r="D80" s="80"/>
      <c r="E80" s="71">
        <v>0</v>
      </c>
      <c r="F80" s="79">
        <f t="shared" si="6"/>
        <v>0</v>
      </c>
      <c r="G80">
        <v>0</v>
      </c>
      <c r="H80" s="79">
        <f t="shared" si="7"/>
        <v>0</v>
      </c>
      <c r="I80">
        <v>0</v>
      </c>
      <c r="J80" s="79">
        <f t="shared" si="8"/>
        <v>0</v>
      </c>
      <c r="K80">
        <v>0</v>
      </c>
      <c r="L80" s="79">
        <f t="shared" si="9"/>
        <v>0</v>
      </c>
      <c r="M80">
        <v>0</v>
      </c>
      <c r="N80" s="79">
        <f t="shared" si="10"/>
        <v>0</v>
      </c>
      <c r="O80">
        <v>0</v>
      </c>
      <c r="P80" s="79">
        <f t="shared" si="11"/>
        <v>0</v>
      </c>
    </row>
    <row r="81" spans="4:16" x14ac:dyDescent="0.3">
      <c r="D81" s="80"/>
      <c r="E81" s="71">
        <v>0</v>
      </c>
      <c r="F81" s="79">
        <f t="shared" si="6"/>
        <v>0</v>
      </c>
      <c r="G81">
        <v>0</v>
      </c>
      <c r="H81" s="79">
        <f t="shared" si="7"/>
        <v>0</v>
      </c>
      <c r="I81">
        <v>0</v>
      </c>
      <c r="J81" s="79">
        <f t="shared" si="8"/>
        <v>0</v>
      </c>
      <c r="K81">
        <v>0</v>
      </c>
      <c r="L81" s="79">
        <f t="shared" si="9"/>
        <v>0</v>
      </c>
      <c r="M81">
        <v>0</v>
      </c>
      <c r="N81" s="79">
        <f t="shared" si="10"/>
        <v>0</v>
      </c>
      <c r="O81" s="32">
        <v>0</v>
      </c>
      <c r="P81" s="79">
        <f t="shared" si="11"/>
        <v>0</v>
      </c>
    </row>
    <row r="82" spans="4:16" x14ac:dyDescent="0.3">
      <c r="D82" s="80"/>
      <c r="E82" s="41">
        <v>0</v>
      </c>
      <c r="F82" s="79">
        <f t="shared" si="6"/>
        <v>0</v>
      </c>
      <c r="G82">
        <v>0</v>
      </c>
      <c r="H82" s="79">
        <f t="shared" si="7"/>
        <v>0</v>
      </c>
      <c r="I82">
        <v>0</v>
      </c>
      <c r="J82" s="79">
        <f t="shared" si="8"/>
        <v>0</v>
      </c>
      <c r="K82" s="32">
        <v>0</v>
      </c>
      <c r="L82" s="79">
        <f t="shared" si="9"/>
        <v>0</v>
      </c>
      <c r="M82">
        <v>0</v>
      </c>
      <c r="N82" s="79">
        <f t="shared" si="10"/>
        <v>0</v>
      </c>
      <c r="O82">
        <v>0</v>
      </c>
      <c r="P82" s="79">
        <f t="shared" si="11"/>
        <v>0</v>
      </c>
    </row>
    <row r="83" spans="4:16" x14ac:dyDescent="0.3">
      <c r="D83" s="80"/>
      <c r="E83" s="41">
        <v>0</v>
      </c>
      <c r="F83" s="79">
        <f t="shared" si="6"/>
        <v>0</v>
      </c>
      <c r="G83">
        <v>0</v>
      </c>
      <c r="H83" s="79">
        <f t="shared" si="7"/>
        <v>0</v>
      </c>
      <c r="I83">
        <v>0</v>
      </c>
      <c r="J83" s="79">
        <f t="shared" si="8"/>
        <v>0</v>
      </c>
      <c r="K83">
        <v>0</v>
      </c>
      <c r="L83" s="79">
        <f t="shared" si="9"/>
        <v>0</v>
      </c>
      <c r="M83">
        <v>0</v>
      </c>
      <c r="N83" s="79">
        <f t="shared" si="10"/>
        <v>0</v>
      </c>
      <c r="O83">
        <v>0</v>
      </c>
      <c r="P83" s="79">
        <f t="shared" si="11"/>
        <v>0</v>
      </c>
    </row>
    <row r="84" spans="4:16" x14ac:dyDescent="0.3">
      <c r="D84" s="80"/>
      <c r="E84" s="71">
        <v>0</v>
      </c>
      <c r="F84" s="79">
        <f t="shared" si="6"/>
        <v>0</v>
      </c>
      <c r="G84">
        <v>0</v>
      </c>
      <c r="H84" s="79">
        <f t="shared" si="7"/>
        <v>0</v>
      </c>
      <c r="I84">
        <v>0</v>
      </c>
      <c r="J84" s="79">
        <f t="shared" si="8"/>
        <v>0</v>
      </c>
      <c r="K84" s="32">
        <v>0</v>
      </c>
      <c r="L84" s="79">
        <f t="shared" si="9"/>
        <v>0</v>
      </c>
      <c r="M84" s="32">
        <v>0</v>
      </c>
      <c r="N84" s="79">
        <f t="shared" si="10"/>
        <v>0</v>
      </c>
      <c r="O84" s="32">
        <v>0</v>
      </c>
      <c r="P84" s="79">
        <f t="shared" si="11"/>
        <v>0</v>
      </c>
    </row>
    <row r="85" spans="4:16" ht="15" customHeight="1" x14ac:dyDescent="0.3">
      <c r="D85" s="80"/>
      <c r="E85">
        <v>0</v>
      </c>
      <c r="F85" s="79">
        <f t="shared" si="6"/>
        <v>0</v>
      </c>
      <c r="G85">
        <v>0</v>
      </c>
      <c r="H85" s="79">
        <f t="shared" si="7"/>
        <v>0</v>
      </c>
      <c r="I85">
        <v>0</v>
      </c>
      <c r="J85" s="79">
        <f t="shared" si="8"/>
        <v>0</v>
      </c>
      <c r="K85">
        <v>0</v>
      </c>
      <c r="L85" s="79">
        <f t="shared" si="9"/>
        <v>0</v>
      </c>
      <c r="M85">
        <v>0</v>
      </c>
      <c r="N85" s="79">
        <f t="shared" si="10"/>
        <v>0</v>
      </c>
      <c r="O85">
        <v>0</v>
      </c>
      <c r="P85" s="79">
        <f t="shared" si="11"/>
        <v>0</v>
      </c>
    </row>
    <row r="86" spans="4:16" x14ac:dyDescent="0.3">
      <c r="D86" s="80"/>
      <c r="E86" s="41">
        <v>0</v>
      </c>
      <c r="F86" s="79">
        <f t="shared" si="6"/>
        <v>0</v>
      </c>
      <c r="G86">
        <v>0</v>
      </c>
      <c r="H86" s="79">
        <f t="shared" si="7"/>
        <v>0</v>
      </c>
      <c r="I86">
        <v>0</v>
      </c>
      <c r="J86" s="79">
        <f t="shared" si="8"/>
        <v>0</v>
      </c>
      <c r="K86">
        <v>0</v>
      </c>
      <c r="L86" s="79">
        <f t="shared" si="9"/>
        <v>0</v>
      </c>
      <c r="M86">
        <v>0</v>
      </c>
      <c r="N86" s="79">
        <f t="shared" si="10"/>
        <v>0</v>
      </c>
      <c r="O86">
        <v>0</v>
      </c>
      <c r="P86" s="79">
        <f t="shared" si="11"/>
        <v>0</v>
      </c>
    </row>
    <row r="87" spans="4:16" x14ac:dyDescent="0.3">
      <c r="D87" s="80"/>
      <c r="E87" s="41">
        <v>0</v>
      </c>
      <c r="F87" s="79">
        <f t="shared" si="6"/>
        <v>0</v>
      </c>
      <c r="G87">
        <v>0</v>
      </c>
      <c r="H87" s="79">
        <f t="shared" si="7"/>
        <v>0</v>
      </c>
      <c r="I87">
        <v>0</v>
      </c>
      <c r="J87" s="79">
        <f t="shared" si="8"/>
        <v>0</v>
      </c>
      <c r="K87">
        <v>0</v>
      </c>
      <c r="L87" s="79">
        <f t="shared" si="9"/>
        <v>0</v>
      </c>
      <c r="M87">
        <v>0</v>
      </c>
      <c r="N87" s="79">
        <f t="shared" si="10"/>
        <v>0</v>
      </c>
      <c r="O87">
        <v>0</v>
      </c>
      <c r="P87" s="79">
        <f t="shared" si="11"/>
        <v>0</v>
      </c>
    </row>
    <row r="88" spans="4:16" x14ac:dyDescent="0.3">
      <c r="D88" s="80"/>
      <c r="E88" s="71">
        <v>0</v>
      </c>
      <c r="F88" s="79">
        <f t="shared" si="6"/>
        <v>0</v>
      </c>
      <c r="G88">
        <v>0</v>
      </c>
      <c r="H88" s="79">
        <f t="shared" si="7"/>
        <v>0</v>
      </c>
      <c r="I88">
        <v>0</v>
      </c>
      <c r="J88" s="79">
        <f t="shared" si="8"/>
        <v>0</v>
      </c>
      <c r="K88">
        <v>0</v>
      </c>
      <c r="L88" s="79">
        <f t="shared" si="9"/>
        <v>0</v>
      </c>
      <c r="M88">
        <v>0</v>
      </c>
      <c r="N88" s="79">
        <f t="shared" si="10"/>
        <v>0</v>
      </c>
      <c r="O88">
        <v>0</v>
      </c>
      <c r="P88" s="79">
        <f t="shared" si="11"/>
        <v>0</v>
      </c>
    </row>
    <row r="89" spans="4:16" x14ac:dyDescent="0.3">
      <c r="D89" s="80"/>
      <c r="E89" s="41">
        <v>0</v>
      </c>
      <c r="F89" s="79">
        <f t="shared" si="6"/>
        <v>0</v>
      </c>
      <c r="G89">
        <v>0</v>
      </c>
      <c r="H89" s="79">
        <f t="shared" si="7"/>
        <v>0</v>
      </c>
      <c r="I89">
        <v>0</v>
      </c>
      <c r="J89" s="79">
        <f t="shared" si="8"/>
        <v>0</v>
      </c>
      <c r="K89">
        <v>0</v>
      </c>
      <c r="L89" s="79">
        <f t="shared" si="9"/>
        <v>0</v>
      </c>
      <c r="M89">
        <v>0</v>
      </c>
      <c r="N89" s="79">
        <f t="shared" si="10"/>
        <v>0</v>
      </c>
      <c r="O89">
        <v>0</v>
      </c>
      <c r="P89" s="79">
        <f t="shared" si="11"/>
        <v>0</v>
      </c>
    </row>
    <row r="90" spans="4:16" x14ac:dyDescent="0.3">
      <c r="D90" s="80"/>
      <c r="E90">
        <v>0</v>
      </c>
      <c r="F90" s="79">
        <f t="shared" si="6"/>
        <v>0</v>
      </c>
      <c r="G90" s="41">
        <v>0</v>
      </c>
      <c r="H90" s="79">
        <f t="shared" si="7"/>
        <v>0</v>
      </c>
      <c r="I90">
        <v>0</v>
      </c>
      <c r="J90" s="79">
        <f t="shared" si="8"/>
        <v>0</v>
      </c>
      <c r="K90">
        <v>0</v>
      </c>
      <c r="L90" s="79">
        <f t="shared" si="9"/>
        <v>0</v>
      </c>
      <c r="M90">
        <v>0</v>
      </c>
      <c r="N90" s="79">
        <f t="shared" si="10"/>
        <v>0</v>
      </c>
      <c r="O90">
        <v>0</v>
      </c>
      <c r="P90" s="79">
        <f t="shared" si="11"/>
        <v>0</v>
      </c>
    </row>
    <row r="91" spans="4:16" x14ac:dyDescent="0.3">
      <c r="D91" s="80"/>
      <c r="E91" s="41">
        <v>0</v>
      </c>
      <c r="F91" s="79">
        <f t="shared" si="6"/>
        <v>0</v>
      </c>
      <c r="G91" s="41">
        <v>0</v>
      </c>
      <c r="H91" s="79">
        <f t="shared" si="7"/>
        <v>0</v>
      </c>
      <c r="I91">
        <v>0</v>
      </c>
      <c r="J91" s="79">
        <f t="shared" si="8"/>
        <v>0</v>
      </c>
      <c r="K91">
        <v>0</v>
      </c>
      <c r="L91" s="79">
        <f t="shared" si="9"/>
        <v>0</v>
      </c>
      <c r="M91">
        <v>0</v>
      </c>
      <c r="N91" s="79">
        <f t="shared" si="10"/>
        <v>0</v>
      </c>
      <c r="O91">
        <v>0</v>
      </c>
      <c r="P91" s="79">
        <f t="shared" si="11"/>
        <v>0</v>
      </c>
    </row>
    <row r="92" spans="4:16" x14ac:dyDescent="0.3">
      <c r="D92" s="80"/>
      <c r="E92" s="71">
        <v>0</v>
      </c>
      <c r="F92" s="79">
        <f t="shared" si="6"/>
        <v>0</v>
      </c>
      <c r="G92">
        <v>0</v>
      </c>
      <c r="H92" s="79">
        <f t="shared" si="7"/>
        <v>0</v>
      </c>
      <c r="I92" s="41">
        <v>0</v>
      </c>
      <c r="J92" s="79">
        <f t="shared" si="8"/>
        <v>0</v>
      </c>
      <c r="K92">
        <v>0</v>
      </c>
      <c r="L92" s="79">
        <f t="shared" si="9"/>
        <v>0</v>
      </c>
      <c r="M92">
        <v>0</v>
      </c>
      <c r="N92" s="79">
        <f t="shared" si="10"/>
        <v>0</v>
      </c>
      <c r="O92">
        <v>0</v>
      </c>
      <c r="P92" s="79">
        <f t="shared" si="11"/>
        <v>0</v>
      </c>
    </row>
    <row r="93" spans="4:16" x14ac:dyDescent="0.3">
      <c r="D93" s="80"/>
      <c r="E93">
        <v>0</v>
      </c>
      <c r="F93" s="79">
        <f t="shared" si="6"/>
        <v>0</v>
      </c>
      <c r="G93">
        <v>0</v>
      </c>
      <c r="H93" s="79">
        <f t="shared" si="7"/>
        <v>0</v>
      </c>
      <c r="I93" s="41">
        <v>0</v>
      </c>
      <c r="J93" s="79">
        <f t="shared" si="8"/>
        <v>0</v>
      </c>
      <c r="K93">
        <v>0</v>
      </c>
      <c r="L93" s="79">
        <f t="shared" si="9"/>
        <v>0</v>
      </c>
      <c r="M93">
        <v>0</v>
      </c>
      <c r="N93" s="79">
        <f t="shared" si="10"/>
        <v>0</v>
      </c>
      <c r="O93">
        <v>0</v>
      </c>
      <c r="P93" s="79">
        <f t="shared" si="11"/>
        <v>0</v>
      </c>
    </row>
    <row r="94" spans="4:16" x14ac:dyDescent="0.3">
      <c r="D94" s="80"/>
      <c r="E94">
        <v>0</v>
      </c>
      <c r="F94" s="79">
        <f t="shared" si="6"/>
        <v>0</v>
      </c>
      <c r="G94" s="71">
        <v>0</v>
      </c>
      <c r="H94" s="79">
        <f t="shared" si="7"/>
        <v>0</v>
      </c>
      <c r="I94">
        <v>0</v>
      </c>
      <c r="J94" s="79">
        <f t="shared" si="8"/>
        <v>0</v>
      </c>
      <c r="K94">
        <v>0</v>
      </c>
      <c r="L94" s="79">
        <f t="shared" si="9"/>
        <v>0</v>
      </c>
      <c r="M94">
        <v>0</v>
      </c>
      <c r="N94" s="79">
        <f t="shared" si="10"/>
        <v>0</v>
      </c>
      <c r="O94">
        <v>0</v>
      </c>
      <c r="P94" s="79">
        <f t="shared" si="11"/>
        <v>0</v>
      </c>
    </row>
    <row r="95" spans="4:16" x14ac:dyDescent="0.3">
      <c r="D95" s="80"/>
      <c r="E95" s="41">
        <v>0</v>
      </c>
      <c r="F95" s="79">
        <f t="shared" si="6"/>
        <v>0</v>
      </c>
      <c r="G95">
        <v>0</v>
      </c>
      <c r="H95" s="79">
        <f t="shared" si="7"/>
        <v>0</v>
      </c>
      <c r="I95">
        <v>0</v>
      </c>
      <c r="J95" s="79">
        <f t="shared" si="8"/>
        <v>0</v>
      </c>
      <c r="K95">
        <v>0</v>
      </c>
      <c r="L95" s="79">
        <f t="shared" si="9"/>
        <v>0</v>
      </c>
      <c r="M95" s="32">
        <v>0</v>
      </c>
      <c r="N95" s="79">
        <f t="shared" si="10"/>
        <v>0</v>
      </c>
      <c r="O95">
        <v>0</v>
      </c>
      <c r="P95" s="79">
        <f t="shared" si="11"/>
        <v>0</v>
      </c>
    </row>
    <row r="96" spans="4:16" x14ac:dyDescent="0.3">
      <c r="D96" s="80"/>
      <c r="E96" s="71">
        <v>0</v>
      </c>
      <c r="F96" s="79">
        <f t="shared" si="6"/>
        <v>0</v>
      </c>
      <c r="G96">
        <v>0</v>
      </c>
      <c r="H96" s="79">
        <f t="shared" si="7"/>
        <v>0</v>
      </c>
      <c r="I96">
        <v>0</v>
      </c>
      <c r="J96" s="79">
        <f t="shared" si="8"/>
        <v>0</v>
      </c>
      <c r="K96">
        <v>0</v>
      </c>
      <c r="L96" s="79">
        <f t="shared" si="9"/>
        <v>0</v>
      </c>
      <c r="M96">
        <v>0</v>
      </c>
      <c r="N96" s="79">
        <f t="shared" si="10"/>
        <v>0</v>
      </c>
      <c r="O96">
        <v>0</v>
      </c>
      <c r="P96" s="79">
        <f t="shared" si="11"/>
        <v>0</v>
      </c>
    </row>
    <row r="97" spans="4:16" x14ac:dyDescent="0.3">
      <c r="D97" s="80"/>
      <c r="E97" s="41">
        <v>0</v>
      </c>
      <c r="F97" s="79">
        <f t="shared" si="6"/>
        <v>0</v>
      </c>
      <c r="G97">
        <v>0</v>
      </c>
      <c r="H97" s="79">
        <f t="shared" si="7"/>
        <v>0</v>
      </c>
      <c r="I97">
        <v>0</v>
      </c>
      <c r="J97" s="79">
        <f t="shared" si="8"/>
        <v>0</v>
      </c>
      <c r="K97">
        <v>0</v>
      </c>
      <c r="L97" s="79">
        <f t="shared" si="9"/>
        <v>0</v>
      </c>
      <c r="M97">
        <v>0</v>
      </c>
      <c r="N97" s="79">
        <f t="shared" si="10"/>
        <v>0</v>
      </c>
      <c r="O97">
        <v>0</v>
      </c>
      <c r="P97" s="79">
        <f t="shared" si="11"/>
        <v>0</v>
      </c>
    </row>
    <row r="98" spans="4:16" x14ac:dyDescent="0.3">
      <c r="D98" s="80"/>
      <c r="E98" s="71">
        <v>0</v>
      </c>
      <c r="F98" s="79">
        <f t="shared" si="6"/>
        <v>0</v>
      </c>
      <c r="G98">
        <v>0</v>
      </c>
      <c r="H98" s="79">
        <f t="shared" si="7"/>
        <v>0</v>
      </c>
      <c r="I98" s="71">
        <v>0</v>
      </c>
      <c r="J98" s="79">
        <f t="shared" si="8"/>
        <v>0</v>
      </c>
      <c r="K98">
        <v>0</v>
      </c>
      <c r="L98" s="79">
        <f t="shared" si="9"/>
        <v>0</v>
      </c>
      <c r="M98" s="32">
        <v>0</v>
      </c>
      <c r="N98" s="79">
        <f t="shared" si="10"/>
        <v>0</v>
      </c>
      <c r="O98">
        <v>0</v>
      </c>
      <c r="P98" s="79">
        <f t="shared" si="11"/>
        <v>0</v>
      </c>
    </row>
    <row r="99" spans="4:16" x14ac:dyDescent="0.3">
      <c r="D99" s="80"/>
      <c r="E99">
        <v>0</v>
      </c>
      <c r="F99" s="79">
        <f t="shared" si="6"/>
        <v>0</v>
      </c>
      <c r="G99">
        <v>0</v>
      </c>
      <c r="H99" s="79">
        <f t="shared" si="7"/>
        <v>0</v>
      </c>
      <c r="I99">
        <v>0</v>
      </c>
      <c r="J99" s="79">
        <f t="shared" si="8"/>
        <v>0</v>
      </c>
      <c r="K99">
        <v>0</v>
      </c>
      <c r="L99" s="79">
        <f t="shared" si="9"/>
        <v>0</v>
      </c>
      <c r="M99">
        <v>0</v>
      </c>
      <c r="N99" s="79">
        <f t="shared" si="10"/>
        <v>0</v>
      </c>
      <c r="O99" s="32">
        <v>0</v>
      </c>
      <c r="P99" s="79">
        <f t="shared" si="11"/>
        <v>0</v>
      </c>
    </row>
    <row r="100" spans="4:16" x14ac:dyDescent="0.3">
      <c r="D100" s="80"/>
      <c r="E100">
        <v>0</v>
      </c>
      <c r="F100" s="79">
        <f t="shared" si="6"/>
        <v>0</v>
      </c>
      <c r="G100">
        <v>0</v>
      </c>
      <c r="H100" s="79">
        <f t="shared" si="7"/>
        <v>0</v>
      </c>
      <c r="I100">
        <v>0</v>
      </c>
      <c r="J100" s="79">
        <f t="shared" si="8"/>
        <v>0</v>
      </c>
      <c r="K100">
        <v>0</v>
      </c>
      <c r="L100" s="79">
        <f t="shared" si="9"/>
        <v>0</v>
      </c>
      <c r="M100">
        <v>0</v>
      </c>
      <c r="N100" s="79">
        <f t="shared" si="10"/>
        <v>0</v>
      </c>
      <c r="O100">
        <v>0</v>
      </c>
      <c r="P100" s="79">
        <f t="shared" si="11"/>
        <v>0</v>
      </c>
    </row>
    <row r="101" spans="4:16" x14ac:dyDescent="0.3">
      <c r="D101" s="80"/>
      <c r="E101" s="71">
        <v>0</v>
      </c>
      <c r="F101" s="79">
        <f t="shared" si="6"/>
        <v>0</v>
      </c>
      <c r="G101">
        <v>0</v>
      </c>
      <c r="H101" s="79">
        <f t="shared" si="7"/>
        <v>0</v>
      </c>
      <c r="I101">
        <v>0</v>
      </c>
      <c r="J101" s="79">
        <f t="shared" si="8"/>
        <v>0</v>
      </c>
      <c r="K101">
        <v>0</v>
      </c>
      <c r="L101" s="79">
        <f t="shared" si="9"/>
        <v>0</v>
      </c>
      <c r="M101">
        <v>0</v>
      </c>
      <c r="N101" s="79">
        <f t="shared" si="10"/>
        <v>0</v>
      </c>
      <c r="O101">
        <v>0</v>
      </c>
      <c r="P101" s="79">
        <f t="shared" si="11"/>
        <v>0</v>
      </c>
    </row>
    <row r="102" spans="4:16" x14ac:dyDescent="0.3">
      <c r="D102" s="80"/>
      <c r="E102" s="41">
        <v>0</v>
      </c>
      <c r="F102" s="79">
        <f t="shared" si="6"/>
        <v>0</v>
      </c>
      <c r="G102">
        <v>0</v>
      </c>
      <c r="H102" s="79">
        <f t="shared" si="7"/>
        <v>0</v>
      </c>
      <c r="I102">
        <v>0</v>
      </c>
      <c r="J102" s="79">
        <f t="shared" si="8"/>
        <v>0</v>
      </c>
      <c r="K102">
        <v>0</v>
      </c>
      <c r="L102" s="79">
        <f t="shared" si="9"/>
        <v>0</v>
      </c>
      <c r="M102">
        <v>0</v>
      </c>
      <c r="N102" s="79">
        <f t="shared" si="10"/>
        <v>0</v>
      </c>
      <c r="O102">
        <v>0</v>
      </c>
      <c r="P102" s="79">
        <f t="shared" si="11"/>
        <v>0</v>
      </c>
    </row>
    <row r="103" spans="4:16" x14ac:dyDescent="0.3">
      <c r="D103" s="80"/>
      <c r="E103" s="71">
        <v>0</v>
      </c>
      <c r="F103" s="79">
        <f t="shared" si="6"/>
        <v>0</v>
      </c>
      <c r="G103">
        <v>0</v>
      </c>
      <c r="H103" s="79">
        <f t="shared" si="7"/>
        <v>0</v>
      </c>
      <c r="I103">
        <v>0</v>
      </c>
      <c r="J103" s="79">
        <f t="shared" si="8"/>
        <v>0</v>
      </c>
      <c r="K103">
        <v>0</v>
      </c>
      <c r="L103" s="79">
        <f t="shared" si="9"/>
        <v>0</v>
      </c>
      <c r="M103">
        <v>0</v>
      </c>
      <c r="N103" s="79">
        <f t="shared" si="10"/>
        <v>0</v>
      </c>
      <c r="O103">
        <v>0</v>
      </c>
      <c r="P103" s="79">
        <f t="shared" si="11"/>
        <v>0</v>
      </c>
    </row>
    <row r="104" spans="4:16" x14ac:dyDescent="0.3">
      <c r="D104" s="80"/>
      <c r="E104">
        <v>0</v>
      </c>
      <c r="F104" s="79">
        <f t="shared" si="6"/>
        <v>0</v>
      </c>
      <c r="G104">
        <v>0</v>
      </c>
      <c r="H104" s="79">
        <f t="shared" si="7"/>
        <v>0</v>
      </c>
      <c r="I104">
        <v>0</v>
      </c>
      <c r="J104" s="79">
        <f t="shared" si="8"/>
        <v>0</v>
      </c>
      <c r="K104">
        <v>0</v>
      </c>
      <c r="L104" s="79">
        <f t="shared" si="9"/>
        <v>0</v>
      </c>
      <c r="M104">
        <v>0</v>
      </c>
      <c r="N104" s="79">
        <f t="shared" si="10"/>
        <v>0</v>
      </c>
      <c r="O104">
        <v>0</v>
      </c>
      <c r="P104" s="79">
        <f t="shared" si="11"/>
        <v>0</v>
      </c>
    </row>
    <row r="105" spans="4:16" x14ac:dyDescent="0.3">
      <c r="E105" s="71">
        <v>0</v>
      </c>
      <c r="F105" s="79"/>
      <c r="G105">
        <v>0</v>
      </c>
      <c r="H105" s="79"/>
      <c r="I105">
        <v>0</v>
      </c>
      <c r="J105" s="79"/>
      <c r="K105">
        <v>0</v>
      </c>
      <c r="L105" s="79"/>
      <c r="M105">
        <v>0</v>
      </c>
      <c r="N105" s="79"/>
      <c r="O105">
        <v>0</v>
      </c>
      <c r="P105" s="79"/>
    </row>
    <row r="106" spans="4:16" x14ac:dyDescent="0.3">
      <c r="E106" s="71">
        <v>0</v>
      </c>
      <c r="F106" s="79"/>
      <c r="G106">
        <v>0</v>
      </c>
      <c r="H106" s="79"/>
      <c r="I106">
        <v>0</v>
      </c>
      <c r="J106" s="79"/>
      <c r="K106">
        <v>0</v>
      </c>
      <c r="L106" s="79"/>
      <c r="M106">
        <v>0</v>
      </c>
      <c r="N106" s="79"/>
      <c r="O106" s="32">
        <v>0</v>
      </c>
      <c r="P106" s="79"/>
    </row>
    <row r="107" spans="4:16" x14ac:dyDescent="0.3">
      <c r="E107" s="41">
        <v>0</v>
      </c>
      <c r="F107" s="79"/>
      <c r="G107">
        <v>0</v>
      </c>
      <c r="H107" s="79"/>
      <c r="I107">
        <v>0</v>
      </c>
      <c r="J107" s="79"/>
      <c r="K107" s="32">
        <v>0</v>
      </c>
      <c r="L107" s="79"/>
      <c r="M107">
        <v>0</v>
      </c>
      <c r="N107" s="79"/>
      <c r="O107">
        <v>0</v>
      </c>
      <c r="P107" s="79"/>
    </row>
    <row r="108" spans="4:16" x14ac:dyDescent="0.3">
      <c r="E108">
        <v>0</v>
      </c>
      <c r="F108" s="79"/>
      <c r="G108">
        <v>0</v>
      </c>
      <c r="H108" s="79"/>
      <c r="I108">
        <v>0</v>
      </c>
      <c r="J108" s="79"/>
      <c r="K108">
        <v>0</v>
      </c>
      <c r="L108" s="79"/>
      <c r="M108">
        <v>0</v>
      </c>
      <c r="N108" s="79"/>
      <c r="O108">
        <v>0</v>
      </c>
      <c r="P108" s="79"/>
    </row>
    <row r="109" spans="4:16" x14ac:dyDescent="0.3">
      <c r="E109">
        <v>0</v>
      </c>
      <c r="F109" s="79"/>
      <c r="G109">
        <v>0</v>
      </c>
      <c r="H109" s="79"/>
      <c r="I109">
        <v>0</v>
      </c>
      <c r="J109" s="79"/>
      <c r="K109">
        <v>0</v>
      </c>
      <c r="L109" s="79"/>
      <c r="M109">
        <v>0</v>
      </c>
      <c r="N109" s="79"/>
      <c r="O109">
        <v>0</v>
      </c>
      <c r="P109" s="79"/>
    </row>
    <row r="110" spans="4:16" x14ac:dyDescent="0.3">
      <c r="E110">
        <v>0</v>
      </c>
      <c r="F110" s="79"/>
      <c r="G110">
        <v>0</v>
      </c>
      <c r="H110" s="79"/>
      <c r="I110">
        <v>0</v>
      </c>
      <c r="J110" s="79"/>
      <c r="K110">
        <v>0</v>
      </c>
      <c r="L110" s="79"/>
      <c r="M110">
        <v>0</v>
      </c>
      <c r="N110" s="79"/>
      <c r="O110">
        <v>0</v>
      </c>
      <c r="P110" s="79"/>
    </row>
    <row r="111" spans="4:16" x14ac:dyDescent="0.3">
      <c r="E111">
        <v>0</v>
      </c>
      <c r="F111" s="79"/>
      <c r="G111">
        <v>0</v>
      </c>
      <c r="H111" s="79"/>
      <c r="I111">
        <v>0</v>
      </c>
      <c r="J111" s="79"/>
      <c r="K111">
        <v>0</v>
      </c>
      <c r="L111" s="79"/>
      <c r="M111" s="32">
        <v>0</v>
      </c>
      <c r="N111" s="79"/>
      <c r="O111">
        <v>0</v>
      </c>
      <c r="P111" s="79"/>
    </row>
    <row r="112" spans="4:16" x14ac:dyDescent="0.3">
      <c r="E112" s="71">
        <v>0</v>
      </c>
      <c r="F112" s="79"/>
      <c r="G112">
        <v>0</v>
      </c>
      <c r="H112" s="79"/>
      <c r="I112">
        <v>0</v>
      </c>
      <c r="J112" s="79"/>
      <c r="K112">
        <v>0</v>
      </c>
      <c r="L112" s="79"/>
      <c r="M112">
        <v>0</v>
      </c>
      <c r="N112" s="79"/>
      <c r="O112" s="32">
        <v>0</v>
      </c>
      <c r="P112" s="79"/>
    </row>
    <row r="113" spans="5:16" x14ac:dyDescent="0.3">
      <c r="E113" s="71">
        <v>0</v>
      </c>
      <c r="F113" s="79"/>
      <c r="G113">
        <v>0</v>
      </c>
      <c r="H113" s="79"/>
      <c r="I113">
        <v>0</v>
      </c>
      <c r="J113" s="79"/>
      <c r="K113">
        <v>0</v>
      </c>
      <c r="L113" s="79"/>
      <c r="M113">
        <v>0</v>
      </c>
      <c r="N113" s="79"/>
      <c r="O113">
        <v>0</v>
      </c>
      <c r="P113" s="79"/>
    </row>
    <row r="114" spans="5:16" x14ac:dyDescent="0.3">
      <c r="E114" s="71">
        <v>0</v>
      </c>
      <c r="F114" s="79"/>
      <c r="G114">
        <v>0</v>
      </c>
      <c r="H114" s="79"/>
      <c r="I114">
        <v>0</v>
      </c>
      <c r="J114" s="79"/>
      <c r="K114">
        <v>0</v>
      </c>
      <c r="L114" s="79"/>
      <c r="M114">
        <v>0</v>
      </c>
      <c r="N114" s="79"/>
      <c r="O114">
        <v>0</v>
      </c>
      <c r="P114" s="79"/>
    </row>
    <row r="115" spans="5:16" x14ac:dyDescent="0.3">
      <c r="E115" s="41">
        <v>0</v>
      </c>
      <c r="F115" s="79"/>
      <c r="G115">
        <v>0</v>
      </c>
      <c r="H115" s="79"/>
      <c r="I115">
        <v>0</v>
      </c>
      <c r="J115" s="79"/>
      <c r="K115">
        <v>0</v>
      </c>
      <c r="L115" s="79"/>
      <c r="M115">
        <v>0</v>
      </c>
      <c r="N115" s="79"/>
      <c r="O115">
        <v>0</v>
      </c>
      <c r="P115" s="79"/>
    </row>
    <row r="116" spans="5:16" x14ac:dyDescent="0.3">
      <c r="E116" s="71">
        <v>0</v>
      </c>
      <c r="F116" s="79"/>
      <c r="G116">
        <v>0</v>
      </c>
      <c r="H116" s="79"/>
      <c r="I116">
        <v>0</v>
      </c>
      <c r="J116" s="79"/>
      <c r="K116">
        <v>0</v>
      </c>
      <c r="L116" s="79"/>
      <c r="M116" s="32">
        <v>0</v>
      </c>
      <c r="N116" s="79"/>
      <c r="O116">
        <v>0</v>
      </c>
      <c r="P116" s="79"/>
    </row>
    <row r="117" spans="5:16" x14ac:dyDescent="0.3">
      <c r="E117">
        <v>0</v>
      </c>
      <c r="F117" s="79"/>
      <c r="G117">
        <v>0</v>
      </c>
      <c r="H117" s="79"/>
      <c r="I117">
        <v>0</v>
      </c>
      <c r="J117" s="79"/>
      <c r="K117">
        <v>0</v>
      </c>
      <c r="L117" s="79"/>
      <c r="M117">
        <v>0</v>
      </c>
      <c r="N117" s="79"/>
      <c r="O117">
        <v>0</v>
      </c>
      <c r="P117" s="79"/>
    </row>
    <row r="118" spans="5:16" x14ac:dyDescent="0.3">
      <c r="E118" s="41">
        <v>0</v>
      </c>
      <c r="F118" s="79"/>
      <c r="G118" s="41">
        <v>0</v>
      </c>
      <c r="H118" s="79"/>
      <c r="I118">
        <v>0</v>
      </c>
      <c r="J118" s="79"/>
      <c r="K118">
        <v>0</v>
      </c>
      <c r="L118" s="79"/>
      <c r="M118">
        <v>0</v>
      </c>
      <c r="N118" s="79"/>
      <c r="O118">
        <v>0</v>
      </c>
      <c r="P118" s="79"/>
    </row>
    <row r="119" spans="5:16" x14ac:dyDescent="0.3">
      <c r="E119" s="41">
        <v>0</v>
      </c>
      <c r="F119" s="79"/>
      <c r="G119">
        <v>0</v>
      </c>
      <c r="H119" s="79"/>
      <c r="I119">
        <v>0</v>
      </c>
      <c r="J119" s="79"/>
      <c r="K119">
        <v>0</v>
      </c>
      <c r="L119" s="79"/>
      <c r="M119">
        <v>0</v>
      </c>
      <c r="N119" s="79"/>
      <c r="O119">
        <v>0</v>
      </c>
      <c r="P119" s="79"/>
    </row>
    <row r="120" spans="5:16" x14ac:dyDescent="0.3">
      <c r="E120">
        <v>0</v>
      </c>
      <c r="F120" s="79"/>
      <c r="G120">
        <v>0</v>
      </c>
      <c r="H120" s="79"/>
      <c r="I120">
        <v>0</v>
      </c>
      <c r="J120" s="79"/>
      <c r="K120">
        <v>0</v>
      </c>
      <c r="L120" s="79"/>
      <c r="M120">
        <v>0</v>
      </c>
      <c r="N120" s="79"/>
      <c r="O120" s="32">
        <v>0</v>
      </c>
      <c r="P120" s="79"/>
    </row>
    <row r="121" spans="5:16" x14ac:dyDescent="0.3">
      <c r="E121">
        <v>0</v>
      </c>
      <c r="F121" s="79"/>
      <c r="G121">
        <v>0</v>
      </c>
      <c r="H121" s="79"/>
      <c r="I121">
        <v>0</v>
      </c>
      <c r="J121" s="79"/>
      <c r="K121">
        <v>0</v>
      </c>
      <c r="L121" s="79"/>
      <c r="M121">
        <v>0</v>
      </c>
      <c r="N121" s="79"/>
      <c r="O121">
        <v>0</v>
      </c>
      <c r="P121" s="79"/>
    </row>
    <row r="122" spans="5:16" x14ac:dyDescent="0.3">
      <c r="E122">
        <v>0</v>
      </c>
      <c r="F122" s="79"/>
      <c r="G122">
        <v>0</v>
      </c>
      <c r="H122" s="79"/>
      <c r="I122" s="41">
        <v>0</v>
      </c>
      <c r="J122" s="79"/>
      <c r="K122">
        <v>0</v>
      </c>
      <c r="L122" s="79"/>
      <c r="M122">
        <v>0</v>
      </c>
      <c r="N122" s="79"/>
      <c r="O122">
        <v>0</v>
      </c>
      <c r="P122" s="79"/>
    </row>
    <row r="123" spans="5:16" x14ac:dyDescent="0.3">
      <c r="E123" s="71">
        <v>0</v>
      </c>
      <c r="F123" s="79"/>
      <c r="G123">
        <v>0</v>
      </c>
      <c r="H123" s="79"/>
      <c r="I123">
        <v>0</v>
      </c>
      <c r="J123" s="79"/>
      <c r="K123">
        <v>0</v>
      </c>
      <c r="L123" s="79"/>
      <c r="M123">
        <v>0</v>
      </c>
      <c r="N123" s="79"/>
      <c r="O123">
        <v>0</v>
      </c>
      <c r="P123" s="79"/>
    </row>
    <row r="124" spans="5:16" x14ac:dyDescent="0.3">
      <c r="E124" s="71">
        <v>0</v>
      </c>
      <c r="F124" s="79"/>
      <c r="G124" s="41">
        <v>0</v>
      </c>
      <c r="H124" s="79"/>
      <c r="I124">
        <v>0</v>
      </c>
      <c r="J124" s="79"/>
      <c r="K124">
        <v>0</v>
      </c>
      <c r="L124" s="79"/>
      <c r="M124">
        <v>0</v>
      </c>
      <c r="N124" s="79"/>
      <c r="O124">
        <v>0</v>
      </c>
      <c r="P124" s="79"/>
    </row>
    <row r="125" spans="5:16" x14ac:dyDescent="0.3">
      <c r="E125">
        <v>0</v>
      </c>
      <c r="F125" s="79"/>
      <c r="G125">
        <v>0</v>
      </c>
      <c r="H125" s="79"/>
      <c r="I125">
        <v>0</v>
      </c>
      <c r="J125" s="79"/>
      <c r="K125">
        <v>0</v>
      </c>
      <c r="L125" s="79"/>
      <c r="M125">
        <v>0</v>
      </c>
      <c r="N125" s="79"/>
      <c r="O125">
        <v>0</v>
      </c>
      <c r="P125" s="79"/>
    </row>
    <row r="126" spans="5:16" x14ac:dyDescent="0.3">
      <c r="E126" s="41">
        <v>0</v>
      </c>
      <c r="F126" s="79"/>
      <c r="G126">
        <v>0</v>
      </c>
      <c r="H126" s="79"/>
      <c r="I126">
        <v>0</v>
      </c>
      <c r="J126" s="79"/>
      <c r="K126">
        <v>0</v>
      </c>
      <c r="L126" s="79"/>
      <c r="M126">
        <v>0</v>
      </c>
      <c r="N126" s="79"/>
      <c r="O126">
        <v>0</v>
      </c>
      <c r="P126" s="79"/>
    </row>
    <row r="127" spans="5:16" x14ac:dyDescent="0.3">
      <c r="E127">
        <v>0</v>
      </c>
      <c r="F127" s="79"/>
      <c r="G127">
        <v>0</v>
      </c>
      <c r="H127" s="79"/>
      <c r="I127">
        <v>0</v>
      </c>
      <c r="J127" s="79"/>
      <c r="K127">
        <v>0</v>
      </c>
      <c r="L127" s="79"/>
      <c r="M127">
        <v>0</v>
      </c>
      <c r="N127" s="79"/>
      <c r="O127">
        <v>0</v>
      </c>
      <c r="P127" s="79"/>
    </row>
    <row r="128" spans="5:16" x14ac:dyDescent="0.3">
      <c r="E128" s="71">
        <v>0</v>
      </c>
      <c r="F128" s="79"/>
      <c r="G128" s="41">
        <v>0</v>
      </c>
      <c r="H128" s="79"/>
      <c r="I128">
        <v>0</v>
      </c>
      <c r="J128" s="79"/>
      <c r="K128">
        <v>0</v>
      </c>
      <c r="L128" s="79"/>
      <c r="M128">
        <v>0</v>
      </c>
      <c r="N128" s="79"/>
      <c r="O128">
        <v>0</v>
      </c>
      <c r="P128" s="79"/>
    </row>
    <row r="129" spans="5:16" x14ac:dyDescent="0.3">
      <c r="E129">
        <v>0</v>
      </c>
      <c r="F129" s="79"/>
      <c r="G129">
        <v>0</v>
      </c>
      <c r="H129" s="79"/>
      <c r="I129">
        <v>0</v>
      </c>
      <c r="J129" s="79"/>
      <c r="K129">
        <v>0</v>
      </c>
      <c r="L129" s="79"/>
      <c r="M129">
        <v>0</v>
      </c>
      <c r="N129" s="79"/>
      <c r="O129">
        <v>0</v>
      </c>
      <c r="P129" s="79"/>
    </row>
    <row r="130" spans="5:16" x14ac:dyDescent="0.3">
      <c r="E130" s="41">
        <v>0</v>
      </c>
      <c r="F130" s="79"/>
      <c r="G130">
        <v>0</v>
      </c>
      <c r="H130" s="79"/>
      <c r="I130" s="41">
        <v>0</v>
      </c>
      <c r="J130" s="79"/>
      <c r="K130" s="32">
        <v>0</v>
      </c>
      <c r="L130" s="79"/>
      <c r="M130">
        <v>0</v>
      </c>
      <c r="N130" s="79"/>
      <c r="O130">
        <v>0</v>
      </c>
      <c r="P130" s="79"/>
    </row>
    <row r="131" spans="5:16" x14ac:dyDescent="0.3">
      <c r="E131" s="41">
        <v>0</v>
      </c>
      <c r="F131" s="79"/>
      <c r="G131" s="41">
        <v>0</v>
      </c>
      <c r="H131" s="79"/>
      <c r="I131" s="41">
        <v>0</v>
      </c>
      <c r="J131" s="79"/>
      <c r="K131" s="32">
        <v>0</v>
      </c>
      <c r="L131" s="79"/>
      <c r="M131" s="32">
        <v>0</v>
      </c>
      <c r="N131" s="79"/>
      <c r="O131" s="32">
        <v>0</v>
      </c>
      <c r="P131" s="79"/>
    </row>
    <row r="132" spans="5:16" x14ac:dyDescent="0.3">
      <c r="E132">
        <v>0</v>
      </c>
      <c r="F132" s="79"/>
      <c r="G132">
        <v>0</v>
      </c>
      <c r="H132" s="79"/>
      <c r="I132">
        <v>0</v>
      </c>
      <c r="J132" s="79"/>
      <c r="K132">
        <v>0</v>
      </c>
      <c r="L132" s="79"/>
      <c r="M132" s="32">
        <v>0</v>
      </c>
      <c r="N132" s="79"/>
      <c r="O132" s="32">
        <v>0</v>
      </c>
      <c r="P132" s="79"/>
    </row>
    <row r="133" spans="5:16" x14ac:dyDescent="0.3">
      <c r="E133">
        <v>0</v>
      </c>
      <c r="G133">
        <v>0</v>
      </c>
      <c r="I133">
        <v>0</v>
      </c>
      <c r="K133">
        <v>0</v>
      </c>
      <c r="M133">
        <v>0</v>
      </c>
      <c r="O133">
        <v>0</v>
      </c>
    </row>
    <row r="134" spans="5:16" x14ac:dyDescent="0.3">
      <c r="E134">
        <v>0</v>
      </c>
      <c r="G134">
        <v>0</v>
      </c>
      <c r="I134">
        <v>0</v>
      </c>
      <c r="K134">
        <v>0</v>
      </c>
      <c r="M134">
        <v>0</v>
      </c>
      <c r="O134">
        <v>0</v>
      </c>
    </row>
    <row r="135" spans="5:16" x14ac:dyDescent="0.3">
      <c r="E135">
        <v>0</v>
      </c>
      <c r="G135">
        <v>0</v>
      </c>
      <c r="I135">
        <v>0</v>
      </c>
      <c r="K135">
        <v>0</v>
      </c>
      <c r="M135">
        <v>0</v>
      </c>
      <c r="O135">
        <v>0</v>
      </c>
    </row>
    <row r="136" spans="5:16" x14ac:dyDescent="0.3">
      <c r="E136">
        <v>0</v>
      </c>
      <c r="G136">
        <v>0</v>
      </c>
      <c r="I136">
        <v>0</v>
      </c>
      <c r="K136">
        <v>0</v>
      </c>
      <c r="M136">
        <v>0</v>
      </c>
      <c r="O136">
        <v>0</v>
      </c>
    </row>
    <row r="137" spans="5:16" x14ac:dyDescent="0.3">
      <c r="E137">
        <v>0</v>
      </c>
      <c r="G137">
        <v>0</v>
      </c>
      <c r="I137">
        <v>0</v>
      </c>
      <c r="K137">
        <v>0</v>
      </c>
      <c r="M137">
        <v>0</v>
      </c>
      <c r="O137">
        <v>0</v>
      </c>
    </row>
    <row r="138" spans="5:16" x14ac:dyDescent="0.3">
      <c r="E138">
        <v>0</v>
      </c>
      <c r="G138">
        <v>0</v>
      </c>
      <c r="I138">
        <v>0</v>
      </c>
      <c r="K138">
        <v>0</v>
      </c>
      <c r="M138">
        <v>0</v>
      </c>
      <c r="O138">
        <v>0</v>
      </c>
    </row>
    <row r="139" spans="5:16" x14ac:dyDescent="0.3">
      <c r="E139">
        <v>0</v>
      </c>
      <c r="G139">
        <v>0</v>
      </c>
      <c r="I139">
        <v>0</v>
      </c>
      <c r="K139">
        <v>0</v>
      </c>
      <c r="M139">
        <v>0</v>
      </c>
      <c r="O139">
        <v>0</v>
      </c>
    </row>
    <row r="140" spans="5:16" x14ac:dyDescent="0.3">
      <c r="E140">
        <v>0</v>
      </c>
      <c r="G140">
        <v>0</v>
      </c>
      <c r="I140">
        <v>0</v>
      </c>
      <c r="K140">
        <v>0</v>
      </c>
      <c r="M140">
        <v>0</v>
      </c>
      <c r="O140">
        <v>0</v>
      </c>
    </row>
    <row r="141" spans="5:16" x14ac:dyDescent="0.3">
      <c r="E141">
        <v>0</v>
      </c>
      <c r="G141">
        <v>0</v>
      </c>
      <c r="I141">
        <v>0</v>
      </c>
      <c r="K141">
        <v>0</v>
      </c>
      <c r="M141">
        <v>0</v>
      </c>
      <c r="O141">
        <v>0</v>
      </c>
    </row>
    <row r="142" spans="5:16" x14ac:dyDescent="0.3">
      <c r="E142">
        <v>0</v>
      </c>
      <c r="G142">
        <v>0</v>
      </c>
      <c r="I142">
        <v>0</v>
      </c>
      <c r="K142">
        <v>0</v>
      </c>
      <c r="M142">
        <v>0</v>
      </c>
      <c r="O142">
        <v>0</v>
      </c>
    </row>
    <row r="143" spans="5:16" x14ac:dyDescent="0.3">
      <c r="E143">
        <v>0</v>
      </c>
      <c r="G143">
        <v>0</v>
      </c>
      <c r="I143">
        <v>0</v>
      </c>
      <c r="K143">
        <v>0</v>
      </c>
      <c r="M143">
        <v>0</v>
      </c>
      <c r="O143">
        <v>0</v>
      </c>
    </row>
    <row r="144" spans="5:16" x14ac:dyDescent="0.3">
      <c r="E144">
        <v>0</v>
      </c>
      <c r="G144">
        <v>0</v>
      </c>
      <c r="I144">
        <v>0</v>
      </c>
      <c r="K144">
        <v>0</v>
      </c>
      <c r="M144">
        <v>0</v>
      </c>
      <c r="O144">
        <v>0</v>
      </c>
    </row>
    <row r="145" spans="5:15" x14ac:dyDescent="0.3">
      <c r="E145">
        <v>0</v>
      </c>
      <c r="G145">
        <v>0</v>
      </c>
      <c r="I145">
        <v>0</v>
      </c>
      <c r="K145">
        <v>0</v>
      </c>
      <c r="M145">
        <v>0</v>
      </c>
      <c r="O145">
        <v>0</v>
      </c>
    </row>
    <row r="146" spans="5:15" x14ac:dyDescent="0.3">
      <c r="E146">
        <v>0</v>
      </c>
      <c r="G146">
        <v>0</v>
      </c>
      <c r="I146">
        <v>0</v>
      </c>
      <c r="K146">
        <v>0</v>
      </c>
      <c r="M146">
        <v>0</v>
      </c>
      <c r="O146">
        <v>0</v>
      </c>
    </row>
    <row r="147" spans="5:15" x14ac:dyDescent="0.3">
      <c r="E147">
        <v>0</v>
      </c>
      <c r="G147">
        <v>0</v>
      </c>
      <c r="I147">
        <v>0</v>
      </c>
      <c r="K147">
        <v>0</v>
      </c>
      <c r="M147">
        <v>0</v>
      </c>
      <c r="O147">
        <v>0</v>
      </c>
    </row>
    <row r="148" spans="5:15" x14ac:dyDescent="0.3">
      <c r="E148">
        <v>0</v>
      </c>
      <c r="G148">
        <v>0</v>
      </c>
      <c r="I148">
        <v>0</v>
      </c>
      <c r="K148">
        <v>0</v>
      </c>
      <c r="M148">
        <v>0</v>
      </c>
      <c r="O148">
        <v>0</v>
      </c>
    </row>
    <row r="149" spans="5:15" x14ac:dyDescent="0.3">
      <c r="E149">
        <v>0</v>
      </c>
      <c r="G149">
        <v>0</v>
      </c>
      <c r="I149">
        <v>0</v>
      </c>
      <c r="K149">
        <v>0</v>
      </c>
      <c r="M149">
        <v>0</v>
      </c>
      <c r="O149">
        <v>0</v>
      </c>
    </row>
    <row r="150" spans="5:15" x14ac:dyDescent="0.3">
      <c r="E150">
        <v>0</v>
      </c>
      <c r="G150">
        <v>0</v>
      </c>
      <c r="I150">
        <v>0</v>
      </c>
      <c r="K150">
        <v>0</v>
      </c>
      <c r="M150">
        <v>0</v>
      </c>
      <c r="O150">
        <v>0</v>
      </c>
    </row>
    <row r="151" spans="5:15" x14ac:dyDescent="0.3">
      <c r="E151">
        <v>0</v>
      </c>
      <c r="G151">
        <v>0</v>
      </c>
      <c r="I151">
        <v>0</v>
      </c>
      <c r="K151">
        <v>0</v>
      </c>
      <c r="M151">
        <v>0</v>
      </c>
      <c r="O151">
        <v>0</v>
      </c>
    </row>
    <row r="152" spans="5:15" x14ac:dyDescent="0.3">
      <c r="E152">
        <v>0</v>
      </c>
      <c r="G152">
        <v>0</v>
      </c>
      <c r="I152">
        <v>0</v>
      </c>
      <c r="K152">
        <v>0</v>
      </c>
      <c r="M152">
        <v>0</v>
      </c>
      <c r="O152">
        <v>0</v>
      </c>
    </row>
    <row r="153" spans="5:15" x14ac:dyDescent="0.3">
      <c r="E153">
        <v>0</v>
      </c>
      <c r="G153">
        <v>0</v>
      </c>
      <c r="I153">
        <v>0</v>
      </c>
      <c r="K153">
        <v>0</v>
      </c>
      <c r="M153">
        <v>0</v>
      </c>
      <c r="O153">
        <v>0</v>
      </c>
    </row>
    <row r="154" spans="5:15" x14ac:dyDescent="0.3">
      <c r="E154">
        <v>0</v>
      </c>
      <c r="G154">
        <v>0</v>
      </c>
      <c r="I154">
        <v>0</v>
      </c>
      <c r="K154">
        <v>0</v>
      </c>
      <c r="M154">
        <v>0</v>
      </c>
      <c r="O154">
        <v>0</v>
      </c>
    </row>
    <row r="155" spans="5:15" x14ac:dyDescent="0.3">
      <c r="E155">
        <v>0</v>
      </c>
      <c r="G155">
        <v>0</v>
      </c>
      <c r="I155">
        <v>0</v>
      </c>
      <c r="K155">
        <v>0</v>
      </c>
      <c r="M155">
        <v>0</v>
      </c>
      <c r="O155">
        <v>0</v>
      </c>
    </row>
    <row r="156" spans="5:15" x14ac:dyDescent="0.3">
      <c r="E156">
        <v>0</v>
      </c>
      <c r="G156">
        <v>0</v>
      </c>
      <c r="I156">
        <v>0</v>
      </c>
      <c r="K156">
        <v>0</v>
      </c>
      <c r="M156">
        <v>0</v>
      </c>
      <c r="O156">
        <v>0</v>
      </c>
    </row>
    <row r="157" spans="5:15" x14ac:dyDescent="0.3">
      <c r="E157">
        <v>0</v>
      </c>
      <c r="G157">
        <v>0</v>
      </c>
      <c r="I157">
        <v>0</v>
      </c>
      <c r="K157">
        <v>0</v>
      </c>
      <c r="M157">
        <v>0</v>
      </c>
      <c r="O157">
        <v>0</v>
      </c>
    </row>
    <row r="158" spans="5:15" x14ac:dyDescent="0.3">
      <c r="E158">
        <v>0</v>
      </c>
      <c r="G158">
        <v>0</v>
      </c>
      <c r="I158">
        <v>0</v>
      </c>
      <c r="K158">
        <v>0</v>
      </c>
      <c r="M158">
        <v>0</v>
      </c>
      <c r="O158">
        <v>0</v>
      </c>
    </row>
    <row r="159" spans="5:15" x14ac:dyDescent="0.3">
      <c r="E159">
        <v>0</v>
      </c>
      <c r="G159">
        <v>0</v>
      </c>
      <c r="I159">
        <v>0</v>
      </c>
      <c r="K159">
        <v>0</v>
      </c>
      <c r="M159">
        <v>0</v>
      </c>
      <c r="O159">
        <v>0</v>
      </c>
    </row>
    <row r="160" spans="5:15" x14ac:dyDescent="0.3">
      <c r="E160">
        <v>0</v>
      </c>
      <c r="G160">
        <v>0</v>
      </c>
      <c r="I160">
        <v>0</v>
      </c>
      <c r="K160">
        <v>0</v>
      </c>
      <c r="M160">
        <v>0</v>
      </c>
      <c r="O160">
        <v>0</v>
      </c>
    </row>
    <row r="161" spans="5:15" x14ac:dyDescent="0.3">
      <c r="E161">
        <v>0</v>
      </c>
      <c r="G161">
        <v>0</v>
      </c>
      <c r="I161">
        <v>0</v>
      </c>
      <c r="K161">
        <v>0</v>
      </c>
      <c r="M161">
        <v>0</v>
      </c>
      <c r="O161">
        <v>0</v>
      </c>
    </row>
    <row r="162" spans="5:15" x14ac:dyDescent="0.3">
      <c r="E162">
        <v>0</v>
      </c>
      <c r="G162">
        <v>0</v>
      </c>
      <c r="I162">
        <v>0</v>
      </c>
      <c r="K162">
        <v>0</v>
      </c>
      <c r="M162">
        <v>0</v>
      </c>
      <c r="O162">
        <v>0</v>
      </c>
    </row>
    <row r="163" spans="5:15" x14ac:dyDescent="0.3">
      <c r="E163">
        <v>0</v>
      </c>
      <c r="G163">
        <v>0</v>
      </c>
      <c r="I163">
        <v>0</v>
      </c>
      <c r="K163">
        <v>0</v>
      </c>
      <c r="M163">
        <v>0</v>
      </c>
      <c r="O163">
        <v>0</v>
      </c>
    </row>
    <row r="164" spans="5:15" x14ac:dyDescent="0.3">
      <c r="E164">
        <v>0</v>
      </c>
      <c r="G164">
        <v>0</v>
      </c>
      <c r="I164">
        <v>0</v>
      </c>
      <c r="K164">
        <v>0</v>
      </c>
      <c r="M164">
        <v>0</v>
      </c>
      <c r="O164">
        <v>0</v>
      </c>
    </row>
    <row r="165" spans="5:15" x14ac:dyDescent="0.3">
      <c r="E165">
        <v>0</v>
      </c>
      <c r="G165">
        <v>0</v>
      </c>
      <c r="I165">
        <v>0</v>
      </c>
      <c r="K165">
        <v>0</v>
      </c>
      <c r="M165">
        <v>0</v>
      </c>
      <c r="O165">
        <v>0</v>
      </c>
    </row>
    <row r="166" spans="5:15" x14ac:dyDescent="0.3">
      <c r="E166">
        <v>0</v>
      </c>
      <c r="G166">
        <v>0</v>
      </c>
      <c r="I166">
        <v>0</v>
      </c>
      <c r="K166">
        <v>0</v>
      </c>
      <c r="M166">
        <v>0</v>
      </c>
      <c r="O166">
        <v>0</v>
      </c>
    </row>
    <row r="167" spans="5:15" x14ac:dyDescent="0.3">
      <c r="E167">
        <v>0</v>
      </c>
      <c r="G167">
        <v>0</v>
      </c>
      <c r="I167">
        <v>0</v>
      </c>
      <c r="K167">
        <v>0</v>
      </c>
      <c r="M167">
        <v>0</v>
      </c>
      <c r="O167">
        <v>0</v>
      </c>
    </row>
    <row r="168" spans="5:15" x14ac:dyDescent="0.3">
      <c r="E168">
        <v>0</v>
      </c>
      <c r="G168">
        <v>0</v>
      </c>
      <c r="I168">
        <v>0</v>
      </c>
      <c r="K168">
        <v>0</v>
      </c>
      <c r="M168">
        <v>0</v>
      </c>
      <c r="O168">
        <v>0</v>
      </c>
    </row>
    <row r="169" spans="5:15" x14ac:dyDescent="0.3">
      <c r="E169">
        <v>0</v>
      </c>
      <c r="G169">
        <v>0</v>
      </c>
      <c r="I169">
        <v>0</v>
      </c>
      <c r="K169">
        <v>0</v>
      </c>
      <c r="M169">
        <v>0</v>
      </c>
      <c r="O169">
        <v>0</v>
      </c>
    </row>
    <row r="170" spans="5:15" x14ac:dyDescent="0.3">
      <c r="E170">
        <v>0</v>
      </c>
      <c r="G170">
        <v>0</v>
      </c>
      <c r="I170">
        <v>0</v>
      </c>
      <c r="K170">
        <v>0</v>
      </c>
      <c r="M170">
        <v>0</v>
      </c>
      <c r="O170">
        <v>0</v>
      </c>
    </row>
    <row r="171" spans="5:15" x14ac:dyDescent="0.3">
      <c r="E171">
        <v>0</v>
      </c>
      <c r="G171">
        <v>0</v>
      </c>
      <c r="I171">
        <v>0</v>
      </c>
      <c r="K171">
        <v>0</v>
      </c>
      <c r="M171">
        <v>0</v>
      </c>
      <c r="O171">
        <v>0</v>
      </c>
    </row>
    <row r="172" spans="5:15" x14ac:dyDescent="0.3">
      <c r="E172">
        <v>0</v>
      </c>
      <c r="G172">
        <v>0</v>
      </c>
      <c r="I172">
        <v>0</v>
      </c>
      <c r="K172">
        <v>0</v>
      </c>
      <c r="M172">
        <v>0</v>
      </c>
      <c r="O172">
        <v>0</v>
      </c>
    </row>
    <row r="173" spans="5:15" x14ac:dyDescent="0.3">
      <c r="E173">
        <v>0</v>
      </c>
      <c r="G173">
        <v>0</v>
      </c>
      <c r="I173">
        <v>0</v>
      </c>
      <c r="K173">
        <v>0</v>
      </c>
      <c r="M173">
        <v>0</v>
      </c>
      <c r="O173">
        <v>0</v>
      </c>
    </row>
    <row r="174" spans="5:15" x14ac:dyDescent="0.3">
      <c r="E174">
        <v>0</v>
      </c>
      <c r="G174">
        <v>0</v>
      </c>
      <c r="I174">
        <v>0</v>
      </c>
      <c r="K174">
        <v>0</v>
      </c>
      <c r="M174">
        <v>0</v>
      </c>
      <c r="O174">
        <v>0</v>
      </c>
    </row>
    <row r="175" spans="5:15" x14ac:dyDescent="0.3">
      <c r="E175">
        <v>0</v>
      </c>
      <c r="G175">
        <v>0</v>
      </c>
      <c r="I175">
        <v>0</v>
      </c>
      <c r="K175">
        <v>0</v>
      </c>
      <c r="M175">
        <v>0</v>
      </c>
      <c r="O175">
        <v>0</v>
      </c>
    </row>
    <row r="176" spans="5:15" x14ac:dyDescent="0.3">
      <c r="E176">
        <v>0</v>
      </c>
      <c r="G176">
        <v>0</v>
      </c>
      <c r="I176">
        <v>0</v>
      </c>
      <c r="K176">
        <v>0</v>
      </c>
      <c r="M176">
        <v>0</v>
      </c>
      <c r="O176">
        <v>0</v>
      </c>
    </row>
    <row r="177" spans="5:15" x14ac:dyDescent="0.3">
      <c r="E177">
        <v>0</v>
      </c>
      <c r="G177">
        <v>0</v>
      </c>
      <c r="I177">
        <v>0</v>
      </c>
      <c r="K177">
        <v>0</v>
      </c>
      <c r="M177">
        <v>0</v>
      </c>
      <c r="O177">
        <v>0</v>
      </c>
    </row>
    <row r="178" spans="5:15" x14ac:dyDescent="0.3">
      <c r="E178">
        <v>0</v>
      </c>
      <c r="G178">
        <v>0</v>
      </c>
      <c r="I178">
        <v>0</v>
      </c>
      <c r="K178">
        <v>0</v>
      </c>
      <c r="M178">
        <v>0</v>
      </c>
      <c r="O178">
        <v>0</v>
      </c>
    </row>
    <row r="179" spans="5:15" x14ac:dyDescent="0.3">
      <c r="E179">
        <v>0</v>
      </c>
      <c r="G179">
        <v>0</v>
      </c>
      <c r="I179">
        <v>0</v>
      </c>
      <c r="K179">
        <v>0</v>
      </c>
      <c r="M179">
        <v>0</v>
      </c>
      <c r="O179">
        <v>0</v>
      </c>
    </row>
    <row r="180" spans="5:15" x14ac:dyDescent="0.3">
      <c r="E180">
        <v>0</v>
      </c>
      <c r="G180">
        <v>0</v>
      </c>
      <c r="I180">
        <v>0</v>
      </c>
      <c r="K180">
        <v>0</v>
      </c>
      <c r="M180">
        <v>0</v>
      </c>
      <c r="O180">
        <v>0</v>
      </c>
    </row>
    <row r="181" spans="5:15" x14ac:dyDescent="0.3">
      <c r="E181">
        <v>0</v>
      </c>
      <c r="G181">
        <v>0</v>
      </c>
      <c r="I181">
        <v>0</v>
      </c>
      <c r="K181">
        <v>0</v>
      </c>
      <c r="M181">
        <v>0</v>
      </c>
      <c r="O181">
        <v>0</v>
      </c>
    </row>
    <row r="182" spans="5:15" x14ac:dyDescent="0.3">
      <c r="E182">
        <v>0</v>
      </c>
      <c r="G182">
        <v>0</v>
      </c>
      <c r="I182">
        <v>0</v>
      </c>
      <c r="K182">
        <v>0</v>
      </c>
      <c r="M182">
        <v>0</v>
      </c>
      <c r="O182">
        <v>0</v>
      </c>
    </row>
    <row r="183" spans="5:15" x14ac:dyDescent="0.3">
      <c r="E183">
        <v>0</v>
      </c>
      <c r="G183">
        <v>0</v>
      </c>
      <c r="I183">
        <v>0</v>
      </c>
      <c r="K183">
        <v>0</v>
      </c>
      <c r="M183">
        <v>0</v>
      </c>
      <c r="O183">
        <v>0</v>
      </c>
    </row>
    <row r="184" spans="5:15" x14ac:dyDescent="0.3">
      <c r="E184">
        <v>0</v>
      </c>
      <c r="G184">
        <v>0</v>
      </c>
      <c r="I184">
        <v>0</v>
      </c>
      <c r="K184">
        <v>0</v>
      </c>
      <c r="M184">
        <v>0</v>
      </c>
      <c r="O184">
        <v>0</v>
      </c>
    </row>
    <row r="185" spans="5:15" x14ac:dyDescent="0.3">
      <c r="E185">
        <v>0</v>
      </c>
      <c r="G185">
        <v>0</v>
      </c>
      <c r="I185">
        <v>0</v>
      </c>
      <c r="K185">
        <v>0</v>
      </c>
      <c r="M185">
        <v>0</v>
      </c>
      <c r="O185">
        <v>0</v>
      </c>
    </row>
    <row r="186" spans="5:15" x14ac:dyDescent="0.3">
      <c r="E186">
        <v>0</v>
      </c>
      <c r="G186">
        <v>0</v>
      </c>
      <c r="I186">
        <v>0</v>
      </c>
      <c r="K186">
        <v>0</v>
      </c>
      <c r="M186">
        <v>0</v>
      </c>
      <c r="O186">
        <v>0</v>
      </c>
    </row>
    <row r="187" spans="5:15" x14ac:dyDescent="0.3">
      <c r="E187">
        <v>0</v>
      </c>
      <c r="G187">
        <v>0</v>
      </c>
      <c r="I187">
        <v>0</v>
      </c>
      <c r="K187">
        <v>0</v>
      </c>
      <c r="M187">
        <v>0</v>
      </c>
      <c r="O187">
        <v>0</v>
      </c>
    </row>
    <row r="188" spans="5:15" x14ac:dyDescent="0.3">
      <c r="E188">
        <v>0</v>
      </c>
      <c r="G188">
        <v>0</v>
      </c>
      <c r="I188">
        <v>0</v>
      </c>
      <c r="K188">
        <v>0</v>
      </c>
      <c r="M188">
        <v>0</v>
      </c>
      <c r="O188">
        <v>0</v>
      </c>
    </row>
    <row r="189" spans="5:15" x14ac:dyDescent="0.3">
      <c r="E189">
        <v>0</v>
      </c>
      <c r="G189">
        <v>0</v>
      </c>
      <c r="I189">
        <v>0</v>
      </c>
      <c r="K189">
        <v>0</v>
      </c>
      <c r="M189">
        <v>0</v>
      </c>
      <c r="O189">
        <v>0</v>
      </c>
    </row>
    <row r="190" spans="5:15" x14ac:dyDescent="0.3">
      <c r="E190">
        <v>0</v>
      </c>
      <c r="G190">
        <v>0</v>
      </c>
      <c r="I190">
        <v>0</v>
      </c>
      <c r="K190">
        <v>0</v>
      </c>
      <c r="M190">
        <v>0</v>
      </c>
      <c r="O190">
        <v>0</v>
      </c>
    </row>
    <row r="191" spans="5:15" x14ac:dyDescent="0.3">
      <c r="E191">
        <v>0</v>
      </c>
      <c r="G191">
        <v>0</v>
      </c>
      <c r="I191">
        <v>0</v>
      </c>
      <c r="K191">
        <v>0</v>
      </c>
      <c r="M191">
        <v>0</v>
      </c>
      <c r="O191">
        <v>0</v>
      </c>
    </row>
    <row r="192" spans="5:15" x14ac:dyDescent="0.3">
      <c r="E192">
        <v>0</v>
      </c>
      <c r="G192">
        <v>0</v>
      </c>
      <c r="I192">
        <v>0</v>
      </c>
      <c r="K192">
        <v>0</v>
      </c>
      <c r="M192">
        <v>0</v>
      </c>
      <c r="O192">
        <v>0</v>
      </c>
    </row>
    <row r="193" spans="5:15" x14ac:dyDescent="0.3">
      <c r="E193">
        <v>0</v>
      </c>
      <c r="G193">
        <v>0</v>
      </c>
      <c r="I193">
        <v>0</v>
      </c>
      <c r="K193">
        <v>0</v>
      </c>
      <c r="M193">
        <v>0</v>
      </c>
      <c r="O193">
        <v>0</v>
      </c>
    </row>
    <row r="194" spans="5:15" x14ac:dyDescent="0.3">
      <c r="E194">
        <v>0</v>
      </c>
      <c r="G194">
        <v>0</v>
      </c>
      <c r="I194">
        <v>0</v>
      </c>
      <c r="K194">
        <v>0</v>
      </c>
      <c r="M194">
        <v>0</v>
      </c>
      <c r="O194">
        <v>0</v>
      </c>
    </row>
    <row r="195" spans="5:15" x14ac:dyDescent="0.3">
      <c r="E195">
        <v>0</v>
      </c>
      <c r="G195">
        <v>0</v>
      </c>
      <c r="I195">
        <v>0</v>
      </c>
      <c r="K195">
        <v>0</v>
      </c>
      <c r="M195">
        <v>0</v>
      </c>
      <c r="O195">
        <v>0</v>
      </c>
    </row>
    <row r="196" spans="5:15" x14ac:dyDescent="0.3">
      <c r="E196">
        <v>0</v>
      </c>
      <c r="G196">
        <v>0</v>
      </c>
      <c r="I196">
        <v>0</v>
      </c>
      <c r="K196">
        <v>0</v>
      </c>
      <c r="M196">
        <v>0</v>
      </c>
      <c r="O196">
        <v>0</v>
      </c>
    </row>
    <row r="197" spans="5:15" x14ac:dyDescent="0.3">
      <c r="E197">
        <v>0</v>
      </c>
      <c r="G197">
        <v>0</v>
      </c>
      <c r="I197">
        <v>0</v>
      </c>
      <c r="K197">
        <v>0</v>
      </c>
      <c r="M197">
        <v>0</v>
      </c>
      <c r="O197">
        <v>0</v>
      </c>
    </row>
    <row r="198" spans="5:15" x14ac:dyDescent="0.3">
      <c r="E198">
        <v>0</v>
      </c>
      <c r="G198">
        <v>0</v>
      </c>
      <c r="I198">
        <v>0</v>
      </c>
      <c r="K198">
        <v>0</v>
      </c>
      <c r="M198">
        <v>0</v>
      </c>
      <c r="O198">
        <v>0</v>
      </c>
    </row>
    <row r="199" spans="5:15" x14ac:dyDescent="0.3">
      <c r="E199">
        <v>0</v>
      </c>
      <c r="G199">
        <v>0</v>
      </c>
      <c r="I199">
        <v>0</v>
      </c>
      <c r="K199">
        <v>0</v>
      </c>
      <c r="M199">
        <v>0</v>
      </c>
      <c r="O199">
        <v>0</v>
      </c>
    </row>
    <row r="200" spans="5:15" x14ac:dyDescent="0.3">
      <c r="E200">
        <v>0</v>
      </c>
      <c r="G200">
        <v>0</v>
      </c>
      <c r="I200">
        <v>0</v>
      </c>
      <c r="K200">
        <v>0</v>
      </c>
      <c r="M200">
        <v>0</v>
      </c>
      <c r="O200">
        <v>0</v>
      </c>
    </row>
    <row r="201" spans="5:15" x14ac:dyDescent="0.3">
      <c r="E201">
        <v>0</v>
      </c>
      <c r="G201">
        <v>0</v>
      </c>
      <c r="I201">
        <v>0</v>
      </c>
      <c r="K201">
        <v>0</v>
      </c>
      <c r="M201">
        <v>0</v>
      </c>
      <c r="O201">
        <v>0</v>
      </c>
    </row>
    <row r="202" spans="5:15" x14ac:dyDescent="0.3">
      <c r="E202">
        <v>0</v>
      </c>
      <c r="G202">
        <v>0</v>
      </c>
      <c r="I202">
        <v>0</v>
      </c>
      <c r="K202">
        <v>0</v>
      </c>
      <c r="M202">
        <v>0</v>
      </c>
      <c r="O202">
        <v>0</v>
      </c>
    </row>
    <row r="203" spans="5:15" x14ac:dyDescent="0.3">
      <c r="E203">
        <v>0</v>
      </c>
      <c r="G203">
        <v>0</v>
      </c>
      <c r="I203">
        <v>0</v>
      </c>
      <c r="K203">
        <v>0</v>
      </c>
      <c r="M203">
        <v>0</v>
      </c>
      <c r="O203">
        <v>0</v>
      </c>
    </row>
    <row r="204" spans="5:15" x14ac:dyDescent="0.3">
      <c r="E204">
        <v>0</v>
      </c>
      <c r="G204">
        <v>0</v>
      </c>
      <c r="I204">
        <v>0</v>
      </c>
      <c r="K204">
        <v>0</v>
      </c>
      <c r="M204">
        <v>0</v>
      </c>
      <c r="O204">
        <v>0</v>
      </c>
    </row>
    <row r="205" spans="5:15" x14ac:dyDescent="0.3">
      <c r="E205">
        <v>0</v>
      </c>
      <c r="G205">
        <v>0</v>
      </c>
      <c r="I205">
        <v>0</v>
      </c>
      <c r="K205">
        <v>0</v>
      </c>
      <c r="M205">
        <v>0</v>
      </c>
      <c r="O205">
        <v>0</v>
      </c>
    </row>
    <row r="206" spans="5:15" x14ac:dyDescent="0.3">
      <c r="E206">
        <v>0</v>
      </c>
      <c r="G206">
        <v>0</v>
      </c>
      <c r="I206">
        <v>0</v>
      </c>
      <c r="K206">
        <v>0</v>
      </c>
      <c r="M206">
        <v>0</v>
      </c>
      <c r="O206">
        <v>0</v>
      </c>
    </row>
    <row r="207" spans="5:15" x14ac:dyDescent="0.3">
      <c r="E207">
        <v>0</v>
      </c>
      <c r="G207">
        <v>0</v>
      </c>
      <c r="I207">
        <v>0</v>
      </c>
      <c r="K207">
        <v>0</v>
      </c>
      <c r="M207">
        <v>0</v>
      </c>
      <c r="O207">
        <v>0</v>
      </c>
    </row>
    <row r="208" spans="5:15" x14ac:dyDescent="0.3">
      <c r="E208">
        <v>0</v>
      </c>
      <c r="G208">
        <v>0</v>
      </c>
      <c r="I208">
        <v>0</v>
      </c>
      <c r="K208">
        <v>0</v>
      </c>
      <c r="M208">
        <v>0</v>
      </c>
      <c r="O208">
        <v>0</v>
      </c>
    </row>
    <row r="209" spans="5:15" x14ac:dyDescent="0.3">
      <c r="E209">
        <v>0</v>
      </c>
      <c r="G209">
        <v>0</v>
      </c>
      <c r="I209">
        <v>0</v>
      </c>
      <c r="K209">
        <v>0</v>
      </c>
      <c r="M209">
        <v>0</v>
      </c>
      <c r="O209">
        <v>0</v>
      </c>
    </row>
    <row r="210" spans="5:15" x14ac:dyDescent="0.3">
      <c r="E210">
        <v>0</v>
      </c>
      <c r="G210">
        <v>0</v>
      </c>
      <c r="I210">
        <v>0</v>
      </c>
      <c r="K210">
        <v>0</v>
      </c>
      <c r="M210">
        <v>0</v>
      </c>
      <c r="O210">
        <v>0</v>
      </c>
    </row>
    <row r="211" spans="5:15" x14ac:dyDescent="0.3">
      <c r="E211">
        <v>0</v>
      </c>
      <c r="G211">
        <v>0</v>
      </c>
      <c r="I211">
        <v>0</v>
      </c>
      <c r="K211">
        <v>0</v>
      </c>
      <c r="M211">
        <v>0</v>
      </c>
      <c r="O211">
        <v>0</v>
      </c>
    </row>
    <row r="212" spans="5:15" x14ac:dyDescent="0.3">
      <c r="E212">
        <v>0</v>
      </c>
      <c r="G212">
        <v>0</v>
      </c>
      <c r="I212">
        <v>0</v>
      </c>
      <c r="K212">
        <v>0</v>
      </c>
      <c r="M212">
        <v>0</v>
      </c>
      <c r="O212">
        <v>0</v>
      </c>
    </row>
    <row r="213" spans="5:15" x14ac:dyDescent="0.3">
      <c r="E213">
        <v>0</v>
      </c>
      <c r="G213">
        <v>0</v>
      </c>
      <c r="I213">
        <v>0</v>
      </c>
      <c r="K213">
        <v>0</v>
      </c>
      <c r="M213">
        <v>0</v>
      </c>
      <c r="O213">
        <v>0</v>
      </c>
    </row>
    <row r="214" spans="5:15" x14ac:dyDescent="0.3">
      <c r="E214">
        <v>0</v>
      </c>
      <c r="G214">
        <v>0</v>
      </c>
      <c r="I214">
        <v>0</v>
      </c>
      <c r="K214">
        <v>0</v>
      </c>
      <c r="M214">
        <v>0</v>
      </c>
      <c r="O214">
        <v>0</v>
      </c>
    </row>
    <row r="215" spans="5:15" x14ac:dyDescent="0.3">
      <c r="E215">
        <v>0</v>
      </c>
      <c r="G215">
        <v>0</v>
      </c>
      <c r="I215">
        <v>0</v>
      </c>
      <c r="K215">
        <v>0</v>
      </c>
      <c r="M215">
        <v>0</v>
      </c>
      <c r="O215">
        <v>0</v>
      </c>
    </row>
    <row r="216" spans="5:15" x14ac:dyDescent="0.3">
      <c r="E216">
        <v>0</v>
      </c>
      <c r="G216">
        <v>0</v>
      </c>
      <c r="I216">
        <v>0</v>
      </c>
      <c r="K216">
        <v>0</v>
      </c>
      <c r="M216">
        <v>0</v>
      </c>
      <c r="O216">
        <v>0</v>
      </c>
    </row>
    <row r="217" spans="5:15" x14ac:dyDescent="0.3">
      <c r="E217">
        <v>0</v>
      </c>
      <c r="G217">
        <v>0</v>
      </c>
      <c r="I217">
        <v>0</v>
      </c>
      <c r="K217">
        <v>0</v>
      </c>
      <c r="M217">
        <v>0</v>
      </c>
      <c r="O217">
        <v>0</v>
      </c>
    </row>
    <row r="218" spans="5:15" x14ac:dyDescent="0.3">
      <c r="E218">
        <v>0</v>
      </c>
      <c r="G218">
        <v>0</v>
      </c>
      <c r="I218">
        <v>0</v>
      </c>
      <c r="K218">
        <v>0</v>
      </c>
      <c r="M218">
        <v>0</v>
      </c>
      <c r="O218">
        <v>0</v>
      </c>
    </row>
    <row r="219" spans="5:15" x14ac:dyDescent="0.3">
      <c r="E219">
        <v>0</v>
      </c>
      <c r="G219">
        <v>0</v>
      </c>
      <c r="I219">
        <v>0</v>
      </c>
      <c r="K219">
        <v>0</v>
      </c>
      <c r="M219">
        <v>0</v>
      </c>
      <c r="O219">
        <v>0</v>
      </c>
    </row>
    <row r="220" spans="5:15" x14ac:dyDescent="0.3">
      <c r="E220">
        <v>0</v>
      </c>
      <c r="G220">
        <v>0</v>
      </c>
      <c r="I220">
        <v>0</v>
      </c>
      <c r="K220">
        <v>0</v>
      </c>
      <c r="M220">
        <v>0</v>
      </c>
      <c r="O220">
        <v>0</v>
      </c>
    </row>
    <row r="221" spans="5:15" x14ac:dyDescent="0.3">
      <c r="E221">
        <v>0</v>
      </c>
      <c r="G221">
        <v>0</v>
      </c>
      <c r="I221">
        <v>0</v>
      </c>
      <c r="K221">
        <v>0</v>
      </c>
      <c r="M221">
        <v>0</v>
      </c>
      <c r="O221">
        <v>0</v>
      </c>
    </row>
    <row r="222" spans="5:15" x14ac:dyDescent="0.3">
      <c r="E222">
        <v>0</v>
      </c>
      <c r="G222">
        <v>0</v>
      </c>
      <c r="I222">
        <v>0</v>
      </c>
      <c r="K222">
        <v>0</v>
      </c>
      <c r="M222">
        <v>0</v>
      </c>
      <c r="O222">
        <v>0</v>
      </c>
    </row>
    <row r="223" spans="5:15" x14ac:dyDescent="0.3">
      <c r="E223">
        <v>0</v>
      </c>
      <c r="G223">
        <v>0</v>
      </c>
      <c r="I223">
        <v>0</v>
      </c>
      <c r="K223">
        <v>0</v>
      </c>
      <c r="M223">
        <v>0</v>
      </c>
      <c r="O223">
        <v>0</v>
      </c>
    </row>
    <row r="224" spans="5:15" x14ac:dyDescent="0.3">
      <c r="E224">
        <v>0</v>
      </c>
      <c r="G224">
        <v>0</v>
      </c>
      <c r="I224">
        <v>0</v>
      </c>
      <c r="K224">
        <v>0</v>
      </c>
      <c r="M224">
        <v>0</v>
      </c>
      <c r="O224">
        <v>0</v>
      </c>
    </row>
    <row r="225" spans="5:15" x14ac:dyDescent="0.3">
      <c r="E225">
        <v>0</v>
      </c>
      <c r="G225">
        <v>0</v>
      </c>
      <c r="I225">
        <v>0</v>
      </c>
      <c r="K225">
        <v>0</v>
      </c>
      <c r="M225">
        <v>0</v>
      </c>
      <c r="O225">
        <v>0</v>
      </c>
    </row>
    <row r="226" spans="5:15" x14ac:dyDescent="0.3">
      <c r="E226">
        <v>0</v>
      </c>
      <c r="G226">
        <v>0</v>
      </c>
      <c r="I226">
        <v>0</v>
      </c>
      <c r="K226">
        <v>0</v>
      </c>
      <c r="M226">
        <v>0</v>
      </c>
      <c r="O226">
        <v>0</v>
      </c>
    </row>
    <row r="227" spans="5:15" x14ac:dyDescent="0.3">
      <c r="E227">
        <v>0</v>
      </c>
      <c r="G227">
        <v>0</v>
      </c>
      <c r="I227">
        <v>0</v>
      </c>
      <c r="K227">
        <v>0</v>
      </c>
      <c r="M227">
        <v>0</v>
      </c>
      <c r="O227">
        <v>0</v>
      </c>
    </row>
    <row r="228" spans="5:15" x14ac:dyDescent="0.3">
      <c r="E228">
        <v>0</v>
      </c>
      <c r="G228">
        <v>0</v>
      </c>
      <c r="I228">
        <v>0</v>
      </c>
      <c r="K228">
        <v>0</v>
      </c>
      <c r="M228">
        <v>0</v>
      </c>
      <c r="O228">
        <v>0</v>
      </c>
    </row>
    <row r="229" spans="5:15" x14ac:dyDescent="0.3">
      <c r="E229">
        <v>0</v>
      </c>
      <c r="G229">
        <v>0</v>
      </c>
      <c r="I229">
        <v>0</v>
      </c>
      <c r="K229">
        <v>0</v>
      </c>
      <c r="M229">
        <v>0</v>
      </c>
      <c r="O229">
        <v>0</v>
      </c>
    </row>
    <row r="230" spans="5:15" x14ac:dyDescent="0.3">
      <c r="E230">
        <v>0</v>
      </c>
      <c r="G230">
        <v>0</v>
      </c>
      <c r="I230">
        <v>0</v>
      </c>
      <c r="K230">
        <v>0</v>
      </c>
      <c r="M230">
        <v>0</v>
      </c>
      <c r="O230">
        <v>0</v>
      </c>
    </row>
    <row r="231" spans="5:15" x14ac:dyDescent="0.3">
      <c r="E231">
        <v>0</v>
      </c>
      <c r="G231">
        <v>0</v>
      </c>
      <c r="I231">
        <v>0</v>
      </c>
      <c r="K231">
        <v>0</v>
      </c>
      <c r="M231">
        <v>0</v>
      </c>
      <c r="O231">
        <v>0</v>
      </c>
    </row>
    <row r="232" spans="5:15" x14ac:dyDescent="0.3">
      <c r="E232">
        <v>0</v>
      </c>
      <c r="G232">
        <v>0</v>
      </c>
      <c r="I232">
        <v>0</v>
      </c>
      <c r="K232">
        <v>0</v>
      </c>
      <c r="M232">
        <v>0</v>
      </c>
      <c r="O232">
        <v>0</v>
      </c>
    </row>
    <row r="233" spans="5:15" x14ac:dyDescent="0.3">
      <c r="E233">
        <v>0</v>
      </c>
      <c r="G233">
        <v>0</v>
      </c>
      <c r="I233">
        <v>0</v>
      </c>
      <c r="K233">
        <v>0</v>
      </c>
      <c r="M233">
        <v>0</v>
      </c>
      <c r="O233">
        <v>0</v>
      </c>
    </row>
    <row r="234" spans="5:15" x14ac:dyDescent="0.3">
      <c r="E234">
        <v>0</v>
      </c>
      <c r="G234">
        <v>0</v>
      </c>
      <c r="I234">
        <v>0</v>
      </c>
      <c r="K234">
        <v>0</v>
      </c>
      <c r="M234">
        <v>0</v>
      </c>
      <c r="O234">
        <v>0</v>
      </c>
    </row>
    <row r="235" spans="5:15" x14ac:dyDescent="0.3">
      <c r="E235">
        <v>0</v>
      </c>
      <c r="G235">
        <v>0</v>
      </c>
      <c r="I235">
        <v>0</v>
      </c>
      <c r="K235">
        <v>0</v>
      </c>
      <c r="M235">
        <v>0</v>
      </c>
      <c r="O235">
        <v>0</v>
      </c>
    </row>
    <row r="236" spans="5:15" x14ac:dyDescent="0.3">
      <c r="E236">
        <v>0</v>
      </c>
      <c r="G236">
        <v>0</v>
      </c>
      <c r="I236">
        <v>0</v>
      </c>
      <c r="K236">
        <v>0</v>
      </c>
      <c r="M236">
        <v>0</v>
      </c>
      <c r="O236">
        <v>0</v>
      </c>
    </row>
    <row r="237" spans="5:15" x14ac:dyDescent="0.3">
      <c r="E237">
        <v>0</v>
      </c>
      <c r="G237">
        <v>0</v>
      </c>
      <c r="I237">
        <v>0</v>
      </c>
      <c r="K237">
        <v>0</v>
      </c>
      <c r="M237">
        <v>0</v>
      </c>
      <c r="O237">
        <v>0</v>
      </c>
    </row>
    <row r="238" spans="5:15" x14ac:dyDescent="0.3">
      <c r="E238">
        <v>0</v>
      </c>
      <c r="G238">
        <v>0</v>
      </c>
      <c r="I238">
        <v>0</v>
      </c>
      <c r="K238">
        <v>0</v>
      </c>
      <c r="M238">
        <v>0</v>
      </c>
      <c r="O238">
        <v>0</v>
      </c>
    </row>
    <row r="239" spans="5:15" x14ac:dyDescent="0.3">
      <c r="E239">
        <v>0</v>
      </c>
      <c r="G239">
        <v>0</v>
      </c>
      <c r="I239">
        <v>0</v>
      </c>
      <c r="K239">
        <v>0</v>
      </c>
      <c r="M239">
        <v>0</v>
      </c>
      <c r="O239">
        <v>0</v>
      </c>
    </row>
    <row r="240" spans="5:15" x14ac:dyDescent="0.3">
      <c r="E240">
        <v>0</v>
      </c>
      <c r="G240">
        <v>0</v>
      </c>
      <c r="I240">
        <v>0</v>
      </c>
      <c r="K240">
        <v>0</v>
      </c>
      <c r="M240">
        <v>0</v>
      </c>
      <c r="O240">
        <v>0</v>
      </c>
    </row>
    <row r="241" spans="5:15" x14ac:dyDescent="0.3">
      <c r="E241">
        <v>0</v>
      </c>
      <c r="G241">
        <v>0</v>
      </c>
      <c r="I241">
        <v>0</v>
      </c>
      <c r="K241">
        <v>0</v>
      </c>
      <c r="M241">
        <v>0</v>
      </c>
      <c r="O241">
        <v>0</v>
      </c>
    </row>
    <row r="242" spans="5:15" x14ac:dyDescent="0.3">
      <c r="E242">
        <v>0</v>
      </c>
      <c r="G242">
        <v>0</v>
      </c>
      <c r="I242">
        <v>0</v>
      </c>
      <c r="K242">
        <v>0</v>
      </c>
      <c r="M242">
        <v>0</v>
      </c>
      <c r="O242">
        <v>0</v>
      </c>
    </row>
    <row r="243" spans="5:15" x14ac:dyDescent="0.3">
      <c r="E243">
        <v>0</v>
      </c>
      <c r="G243">
        <v>0</v>
      </c>
      <c r="I243">
        <v>0</v>
      </c>
      <c r="K243">
        <v>0</v>
      </c>
      <c r="M243">
        <v>0</v>
      </c>
      <c r="O243">
        <v>0</v>
      </c>
    </row>
    <row r="244" spans="5:15" x14ac:dyDescent="0.3">
      <c r="E244">
        <v>0</v>
      </c>
      <c r="G244">
        <v>0</v>
      </c>
      <c r="I244">
        <v>0</v>
      </c>
      <c r="K244">
        <v>0</v>
      </c>
      <c r="M244">
        <v>0</v>
      </c>
      <c r="O244">
        <v>0</v>
      </c>
    </row>
    <row r="245" spans="5:15" x14ac:dyDescent="0.3">
      <c r="E245">
        <v>0</v>
      </c>
      <c r="G245">
        <v>0</v>
      </c>
      <c r="I245">
        <v>0</v>
      </c>
      <c r="K245">
        <v>0</v>
      </c>
      <c r="M245">
        <v>0</v>
      </c>
      <c r="O245">
        <v>0</v>
      </c>
    </row>
    <row r="246" spans="5:15" x14ac:dyDescent="0.3">
      <c r="E246">
        <v>0</v>
      </c>
      <c r="G246">
        <v>0</v>
      </c>
      <c r="I246">
        <v>0</v>
      </c>
      <c r="K246">
        <v>0</v>
      </c>
      <c r="M246">
        <v>0</v>
      </c>
      <c r="O246">
        <v>0</v>
      </c>
    </row>
    <row r="247" spans="5:15" x14ac:dyDescent="0.3">
      <c r="E247">
        <v>0</v>
      </c>
      <c r="G247">
        <v>0</v>
      </c>
      <c r="I247">
        <v>0</v>
      </c>
      <c r="K247">
        <v>0</v>
      </c>
      <c r="M247">
        <v>0</v>
      </c>
      <c r="O247">
        <v>0</v>
      </c>
    </row>
    <row r="248" spans="5:15" x14ac:dyDescent="0.3">
      <c r="E248">
        <v>0</v>
      </c>
      <c r="G248">
        <v>0</v>
      </c>
      <c r="I248">
        <v>0</v>
      </c>
      <c r="K248">
        <v>0</v>
      </c>
      <c r="M248">
        <v>0</v>
      </c>
      <c r="O248">
        <v>0</v>
      </c>
    </row>
    <row r="249" spans="5:15" x14ac:dyDescent="0.3">
      <c r="E249">
        <v>0</v>
      </c>
      <c r="G249">
        <v>0</v>
      </c>
      <c r="I249">
        <v>0</v>
      </c>
      <c r="K249">
        <v>0</v>
      </c>
      <c r="M249">
        <v>0</v>
      </c>
      <c r="O249">
        <v>0</v>
      </c>
    </row>
    <row r="250" spans="5:15" x14ac:dyDescent="0.3">
      <c r="E250">
        <v>0</v>
      </c>
      <c r="G250">
        <v>0</v>
      </c>
      <c r="I250">
        <v>0</v>
      </c>
      <c r="K250">
        <v>0</v>
      </c>
      <c r="M250">
        <v>0</v>
      </c>
      <c r="O250">
        <v>0</v>
      </c>
    </row>
    <row r="251" spans="5:15" x14ac:dyDescent="0.3">
      <c r="E251">
        <v>0</v>
      </c>
      <c r="G251">
        <v>0</v>
      </c>
      <c r="I251">
        <v>0</v>
      </c>
      <c r="K251">
        <v>0</v>
      </c>
      <c r="M251">
        <v>0</v>
      </c>
      <c r="O251">
        <v>0</v>
      </c>
    </row>
    <row r="252" spans="5:15" x14ac:dyDescent="0.3">
      <c r="E252">
        <v>0</v>
      </c>
      <c r="G252">
        <v>0</v>
      </c>
      <c r="I252">
        <v>0</v>
      </c>
      <c r="K252">
        <v>0</v>
      </c>
      <c r="M252">
        <v>0</v>
      </c>
      <c r="O252">
        <v>0</v>
      </c>
    </row>
    <row r="253" spans="5:15" x14ac:dyDescent="0.3">
      <c r="E253">
        <v>0</v>
      </c>
      <c r="G253">
        <v>0</v>
      </c>
      <c r="I253">
        <v>0</v>
      </c>
      <c r="K253">
        <v>0</v>
      </c>
      <c r="M253">
        <v>0</v>
      </c>
      <c r="O253">
        <v>0</v>
      </c>
    </row>
    <row r="254" spans="5:15" x14ac:dyDescent="0.3">
      <c r="E254">
        <v>0</v>
      </c>
      <c r="G254">
        <v>0</v>
      </c>
      <c r="I254">
        <v>0</v>
      </c>
      <c r="K254">
        <v>0</v>
      </c>
      <c r="M254">
        <v>0</v>
      </c>
      <c r="O254">
        <v>0</v>
      </c>
    </row>
    <row r="255" spans="5:15" x14ac:dyDescent="0.3">
      <c r="E255">
        <v>0</v>
      </c>
      <c r="G255">
        <v>0</v>
      </c>
      <c r="I255">
        <v>0</v>
      </c>
      <c r="K255">
        <v>0</v>
      </c>
      <c r="M255">
        <v>0</v>
      </c>
      <c r="O255">
        <v>0</v>
      </c>
    </row>
    <row r="256" spans="5:15" x14ac:dyDescent="0.3">
      <c r="E256">
        <v>0</v>
      </c>
      <c r="G256">
        <v>0</v>
      </c>
      <c r="I256">
        <v>0</v>
      </c>
      <c r="K256">
        <v>0</v>
      </c>
      <c r="M256">
        <v>0</v>
      </c>
      <c r="O256">
        <v>0</v>
      </c>
    </row>
    <row r="257" spans="5:15" x14ac:dyDescent="0.3">
      <c r="E257">
        <v>0</v>
      </c>
      <c r="G257">
        <v>0</v>
      </c>
      <c r="I257">
        <v>0</v>
      </c>
      <c r="K257">
        <v>0</v>
      </c>
      <c r="M257">
        <v>0</v>
      </c>
      <c r="O257">
        <v>0</v>
      </c>
    </row>
    <row r="258" spans="5:15" x14ac:dyDescent="0.3">
      <c r="E258">
        <v>0</v>
      </c>
      <c r="G258">
        <v>0</v>
      </c>
      <c r="I258">
        <v>0</v>
      </c>
      <c r="K258">
        <v>0</v>
      </c>
      <c r="M258">
        <v>0</v>
      </c>
      <c r="O258">
        <v>0</v>
      </c>
    </row>
    <row r="259" spans="5:15" x14ac:dyDescent="0.3">
      <c r="E259">
        <v>0</v>
      </c>
      <c r="G259">
        <v>0</v>
      </c>
      <c r="I259">
        <v>0</v>
      </c>
      <c r="K259">
        <v>0</v>
      </c>
      <c r="M259">
        <v>0</v>
      </c>
      <c r="O259">
        <v>0</v>
      </c>
    </row>
    <row r="260" spans="5:15" x14ac:dyDescent="0.3">
      <c r="E260">
        <v>0</v>
      </c>
      <c r="G260">
        <v>0</v>
      </c>
      <c r="I260">
        <v>0</v>
      </c>
      <c r="K260">
        <v>0</v>
      </c>
      <c r="M260">
        <v>0</v>
      </c>
      <c r="O260">
        <v>0</v>
      </c>
    </row>
    <row r="261" spans="5:15" x14ac:dyDescent="0.3">
      <c r="E261">
        <v>0</v>
      </c>
      <c r="G261">
        <v>0</v>
      </c>
      <c r="I261">
        <v>0</v>
      </c>
      <c r="K261">
        <v>0</v>
      </c>
      <c r="M261">
        <v>0</v>
      </c>
      <c r="O261">
        <v>0</v>
      </c>
    </row>
    <row r="262" spans="5:15" x14ac:dyDescent="0.3">
      <c r="E262">
        <v>0</v>
      </c>
      <c r="G262">
        <v>0</v>
      </c>
      <c r="I262">
        <v>0</v>
      </c>
      <c r="K262">
        <v>0</v>
      </c>
      <c r="M262">
        <v>0</v>
      </c>
      <c r="O262">
        <v>0</v>
      </c>
    </row>
    <row r="263" spans="5:15" x14ac:dyDescent="0.3">
      <c r="E263">
        <v>0</v>
      </c>
      <c r="G263">
        <v>0</v>
      </c>
      <c r="I263">
        <v>0</v>
      </c>
      <c r="K263">
        <v>0</v>
      </c>
      <c r="M263">
        <v>0</v>
      </c>
      <c r="O263">
        <v>0</v>
      </c>
    </row>
    <row r="264" spans="5:15" x14ac:dyDescent="0.3">
      <c r="E264">
        <v>0</v>
      </c>
      <c r="G264">
        <v>0</v>
      </c>
      <c r="I264">
        <v>0</v>
      </c>
      <c r="K264">
        <v>0</v>
      </c>
      <c r="M264">
        <v>0</v>
      </c>
      <c r="O264">
        <v>0</v>
      </c>
    </row>
    <row r="265" spans="5:15" x14ac:dyDescent="0.3">
      <c r="E265">
        <v>0</v>
      </c>
      <c r="G265">
        <v>0</v>
      </c>
      <c r="I265">
        <v>0</v>
      </c>
      <c r="K265">
        <v>0</v>
      </c>
      <c r="M265">
        <v>0</v>
      </c>
      <c r="O265">
        <v>0</v>
      </c>
    </row>
    <row r="266" spans="5:15" x14ac:dyDescent="0.3">
      <c r="E266">
        <v>0</v>
      </c>
      <c r="G266">
        <v>0</v>
      </c>
      <c r="I266">
        <v>0</v>
      </c>
      <c r="K266">
        <v>0</v>
      </c>
      <c r="M266">
        <v>0</v>
      </c>
      <c r="O266">
        <v>0</v>
      </c>
    </row>
    <row r="267" spans="5:15" x14ac:dyDescent="0.3">
      <c r="E267">
        <v>0</v>
      </c>
      <c r="G267">
        <v>0</v>
      </c>
      <c r="I267">
        <v>0</v>
      </c>
      <c r="K267">
        <v>0</v>
      </c>
      <c r="M267">
        <v>0</v>
      </c>
      <c r="O267">
        <v>0</v>
      </c>
    </row>
    <row r="268" spans="5:15" x14ac:dyDescent="0.3">
      <c r="E268">
        <v>0</v>
      </c>
      <c r="G268">
        <v>0</v>
      </c>
      <c r="I268">
        <v>0</v>
      </c>
      <c r="K268">
        <v>0</v>
      </c>
      <c r="M268">
        <v>0</v>
      </c>
      <c r="O268">
        <v>0</v>
      </c>
    </row>
    <row r="269" spans="5:15" x14ac:dyDescent="0.3">
      <c r="E269">
        <v>0</v>
      </c>
      <c r="G269">
        <v>0</v>
      </c>
      <c r="I269">
        <v>0</v>
      </c>
      <c r="K269">
        <v>0</v>
      </c>
      <c r="M269">
        <v>0</v>
      </c>
      <c r="O269">
        <v>0</v>
      </c>
    </row>
    <row r="270" spans="5:15" x14ac:dyDescent="0.3">
      <c r="E270">
        <v>0</v>
      </c>
      <c r="G270">
        <v>0</v>
      </c>
      <c r="I270">
        <v>0</v>
      </c>
      <c r="K270">
        <v>0</v>
      </c>
      <c r="M270">
        <v>0</v>
      </c>
      <c r="O270">
        <v>0</v>
      </c>
    </row>
    <row r="271" spans="5:15" x14ac:dyDescent="0.3">
      <c r="E271">
        <v>0</v>
      </c>
      <c r="G271">
        <v>0</v>
      </c>
      <c r="I271">
        <v>0</v>
      </c>
      <c r="K271">
        <v>0</v>
      </c>
      <c r="M271">
        <v>0</v>
      </c>
      <c r="O271">
        <v>0</v>
      </c>
    </row>
    <row r="272" spans="5:15" x14ac:dyDescent="0.3">
      <c r="E272">
        <v>0</v>
      </c>
      <c r="G272">
        <v>0</v>
      </c>
      <c r="I272">
        <v>0</v>
      </c>
      <c r="K272">
        <v>0</v>
      </c>
      <c r="M272">
        <v>0</v>
      </c>
      <c r="O272">
        <v>0</v>
      </c>
    </row>
    <row r="273" spans="5:15" x14ac:dyDescent="0.3">
      <c r="E273">
        <v>0</v>
      </c>
      <c r="G273">
        <v>0</v>
      </c>
      <c r="I273">
        <v>0</v>
      </c>
      <c r="K273">
        <v>0</v>
      </c>
      <c r="M273">
        <v>0</v>
      </c>
      <c r="O273">
        <v>0</v>
      </c>
    </row>
    <row r="274" spans="5:15" x14ac:dyDescent="0.3">
      <c r="E274">
        <v>0</v>
      </c>
      <c r="G274">
        <v>0</v>
      </c>
      <c r="I274">
        <v>0</v>
      </c>
      <c r="K274">
        <v>0</v>
      </c>
      <c r="M274">
        <v>0</v>
      </c>
      <c r="O274">
        <v>0</v>
      </c>
    </row>
    <row r="275" spans="5:15" x14ac:dyDescent="0.3">
      <c r="E275">
        <v>0</v>
      </c>
      <c r="G275">
        <v>0</v>
      </c>
      <c r="I275">
        <v>0</v>
      </c>
      <c r="K275">
        <v>0</v>
      </c>
      <c r="M275">
        <v>0</v>
      </c>
      <c r="O275">
        <v>0</v>
      </c>
    </row>
    <row r="276" spans="5:15" x14ac:dyDescent="0.3">
      <c r="E276">
        <v>0</v>
      </c>
      <c r="G276">
        <v>0</v>
      </c>
      <c r="I276">
        <v>0</v>
      </c>
      <c r="K276">
        <v>0</v>
      </c>
      <c r="M276">
        <v>0</v>
      </c>
      <c r="O276">
        <v>0</v>
      </c>
    </row>
    <row r="277" spans="5:15" x14ac:dyDescent="0.3">
      <c r="E277">
        <v>0</v>
      </c>
      <c r="G277">
        <v>0</v>
      </c>
      <c r="I277">
        <v>0</v>
      </c>
      <c r="K277">
        <v>0</v>
      </c>
      <c r="M277">
        <v>0</v>
      </c>
      <c r="O277">
        <v>0</v>
      </c>
    </row>
    <row r="278" spans="5:15" x14ac:dyDescent="0.3">
      <c r="E278">
        <v>0</v>
      </c>
      <c r="G278">
        <v>0</v>
      </c>
      <c r="I278">
        <v>0</v>
      </c>
      <c r="K278">
        <v>0</v>
      </c>
      <c r="M278">
        <v>0</v>
      </c>
      <c r="O278">
        <v>0</v>
      </c>
    </row>
    <row r="279" spans="5:15" x14ac:dyDescent="0.3">
      <c r="E279">
        <v>0</v>
      </c>
      <c r="G279">
        <v>0</v>
      </c>
      <c r="I279">
        <v>0</v>
      </c>
      <c r="K279">
        <v>0</v>
      </c>
      <c r="M279">
        <v>0</v>
      </c>
      <c r="O279">
        <v>0</v>
      </c>
    </row>
    <row r="280" spans="5:15" x14ac:dyDescent="0.3">
      <c r="E280">
        <v>0</v>
      </c>
      <c r="G280">
        <v>0</v>
      </c>
      <c r="I280">
        <v>0</v>
      </c>
      <c r="K280">
        <v>0</v>
      </c>
      <c r="M280">
        <v>0</v>
      </c>
      <c r="O280">
        <v>0</v>
      </c>
    </row>
    <row r="281" spans="5:15" x14ac:dyDescent="0.3">
      <c r="E281">
        <v>0</v>
      </c>
      <c r="G281">
        <v>0</v>
      </c>
      <c r="I281">
        <v>0</v>
      </c>
      <c r="K281">
        <v>0</v>
      </c>
      <c r="M281">
        <v>0</v>
      </c>
      <c r="O281">
        <v>0</v>
      </c>
    </row>
    <row r="282" spans="5:15" x14ac:dyDescent="0.3">
      <c r="E282">
        <v>0</v>
      </c>
      <c r="G282">
        <v>0</v>
      </c>
      <c r="I282">
        <v>0</v>
      </c>
      <c r="K282">
        <v>0</v>
      </c>
      <c r="M282">
        <v>0</v>
      </c>
      <c r="O282">
        <v>0</v>
      </c>
    </row>
    <row r="283" spans="5:15" x14ac:dyDescent="0.3">
      <c r="E283">
        <v>0</v>
      </c>
      <c r="G283">
        <v>0</v>
      </c>
      <c r="I283">
        <v>0</v>
      </c>
      <c r="K283">
        <v>0</v>
      </c>
      <c r="M283">
        <v>0</v>
      </c>
      <c r="O283">
        <v>0</v>
      </c>
    </row>
    <row r="284" spans="5:15" x14ac:dyDescent="0.3">
      <c r="E284">
        <v>0</v>
      </c>
      <c r="G284">
        <v>0</v>
      </c>
      <c r="I284">
        <v>0</v>
      </c>
      <c r="K284">
        <v>0</v>
      </c>
      <c r="M284">
        <v>0</v>
      </c>
      <c r="O284">
        <v>0</v>
      </c>
    </row>
    <row r="285" spans="5:15" x14ac:dyDescent="0.3">
      <c r="E285">
        <v>0</v>
      </c>
      <c r="G285">
        <v>0</v>
      </c>
      <c r="I285">
        <v>0</v>
      </c>
      <c r="K285">
        <v>0</v>
      </c>
      <c r="M285">
        <v>0</v>
      </c>
      <c r="O285">
        <v>0</v>
      </c>
    </row>
    <row r="286" spans="5:15" x14ac:dyDescent="0.3">
      <c r="E286">
        <v>0</v>
      </c>
      <c r="G286">
        <v>0</v>
      </c>
      <c r="I286">
        <v>0</v>
      </c>
      <c r="K286">
        <v>0</v>
      </c>
      <c r="M286">
        <v>0</v>
      </c>
      <c r="O286">
        <v>0</v>
      </c>
    </row>
    <row r="287" spans="5:15" x14ac:dyDescent="0.3">
      <c r="E287">
        <v>0</v>
      </c>
      <c r="G287">
        <v>0</v>
      </c>
      <c r="I287">
        <v>0</v>
      </c>
      <c r="K287">
        <v>0</v>
      </c>
      <c r="M287">
        <v>0</v>
      </c>
      <c r="O287">
        <v>0</v>
      </c>
    </row>
    <row r="288" spans="5:15" x14ac:dyDescent="0.3">
      <c r="E288">
        <v>0</v>
      </c>
      <c r="G288">
        <v>0</v>
      </c>
      <c r="I288">
        <v>0</v>
      </c>
      <c r="K288">
        <v>0</v>
      </c>
      <c r="M288">
        <v>0</v>
      </c>
      <c r="O288">
        <v>0</v>
      </c>
    </row>
    <row r="289" spans="5:15" x14ac:dyDescent="0.3">
      <c r="E289">
        <v>0</v>
      </c>
      <c r="G289">
        <v>0</v>
      </c>
      <c r="I289">
        <v>0</v>
      </c>
      <c r="K289">
        <v>0</v>
      </c>
      <c r="M289">
        <v>0</v>
      </c>
      <c r="O289">
        <v>0</v>
      </c>
    </row>
    <row r="290" spans="5:15" x14ac:dyDescent="0.3">
      <c r="E290">
        <v>0</v>
      </c>
      <c r="G290">
        <v>0</v>
      </c>
      <c r="I290">
        <v>0</v>
      </c>
      <c r="K290">
        <v>0</v>
      </c>
      <c r="M290">
        <v>0</v>
      </c>
      <c r="O290">
        <v>0</v>
      </c>
    </row>
    <row r="291" spans="5:15" x14ac:dyDescent="0.3">
      <c r="E291">
        <v>0</v>
      </c>
      <c r="G291">
        <v>0</v>
      </c>
      <c r="I291">
        <v>0</v>
      </c>
      <c r="K291">
        <v>0</v>
      </c>
      <c r="M291">
        <v>0</v>
      </c>
      <c r="O291">
        <v>0</v>
      </c>
    </row>
    <row r="292" spans="5:15" x14ac:dyDescent="0.3">
      <c r="E292">
        <v>0</v>
      </c>
      <c r="G292">
        <v>0</v>
      </c>
      <c r="I292">
        <v>0</v>
      </c>
      <c r="K292">
        <v>0</v>
      </c>
      <c r="M292">
        <v>0</v>
      </c>
      <c r="O292">
        <v>0</v>
      </c>
    </row>
    <row r="293" spans="5:15" x14ac:dyDescent="0.3">
      <c r="E293">
        <v>0</v>
      </c>
      <c r="G293">
        <v>0</v>
      </c>
      <c r="I293">
        <v>0</v>
      </c>
      <c r="K293">
        <v>0</v>
      </c>
      <c r="M293">
        <v>0</v>
      </c>
      <c r="O293">
        <v>0</v>
      </c>
    </row>
    <row r="294" spans="5:15" x14ac:dyDescent="0.3">
      <c r="E294">
        <v>0</v>
      </c>
      <c r="G294">
        <v>0</v>
      </c>
      <c r="I294">
        <v>0</v>
      </c>
      <c r="K294">
        <v>0</v>
      </c>
      <c r="M294">
        <v>0</v>
      </c>
      <c r="O294">
        <v>0</v>
      </c>
    </row>
    <row r="295" spans="5:15" x14ac:dyDescent="0.3">
      <c r="E295">
        <v>0</v>
      </c>
      <c r="G295">
        <v>0</v>
      </c>
      <c r="I295">
        <v>0</v>
      </c>
      <c r="K295">
        <v>0</v>
      </c>
      <c r="M295">
        <v>0</v>
      </c>
      <c r="O295">
        <v>0</v>
      </c>
    </row>
    <row r="296" spans="5:15" x14ac:dyDescent="0.3">
      <c r="E296">
        <v>0</v>
      </c>
      <c r="G296">
        <v>0</v>
      </c>
      <c r="I296">
        <v>0</v>
      </c>
      <c r="K296">
        <v>0</v>
      </c>
      <c r="M296">
        <v>0</v>
      </c>
      <c r="O296">
        <v>0</v>
      </c>
    </row>
    <row r="297" spans="5:15" x14ac:dyDescent="0.3">
      <c r="E297">
        <v>0</v>
      </c>
      <c r="G297">
        <v>0</v>
      </c>
      <c r="I297">
        <v>0</v>
      </c>
      <c r="K297">
        <v>0</v>
      </c>
      <c r="M297">
        <v>0</v>
      </c>
      <c r="O297">
        <v>0</v>
      </c>
    </row>
    <row r="298" spans="5:15" x14ac:dyDescent="0.3">
      <c r="E298">
        <v>0</v>
      </c>
      <c r="G298">
        <v>0</v>
      </c>
      <c r="I298">
        <v>0</v>
      </c>
      <c r="K298">
        <v>0</v>
      </c>
      <c r="M298">
        <v>0</v>
      </c>
      <c r="O298">
        <v>0</v>
      </c>
    </row>
    <row r="299" spans="5:15" x14ac:dyDescent="0.3">
      <c r="E299">
        <v>0</v>
      </c>
      <c r="G299">
        <v>0</v>
      </c>
      <c r="I299">
        <v>0</v>
      </c>
      <c r="K299">
        <v>0</v>
      </c>
      <c r="M299">
        <v>0</v>
      </c>
      <c r="O299">
        <v>0</v>
      </c>
    </row>
    <row r="300" spans="5:15" x14ac:dyDescent="0.3">
      <c r="E300">
        <v>0</v>
      </c>
      <c r="G300">
        <v>0</v>
      </c>
      <c r="I300">
        <v>0</v>
      </c>
      <c r="K300">
        <v>0</v>
      </c>
      <c r="M300">
        <v>0</v>
      </c>
      <c r="O300">
        <v>0</v>
      </c>
    </row>
    <row r="301" spans="5:15" x14ac:dyDescent="0.3">
      <c r="E301">
        <v>0</v>
      </c>
      <c r="G301">
        <v>0</v>
      </c>
      <c r="I301">
        <v>0</v>
      </c>
      <c r="K301">
        <v>0</v>
      </c>
      <c r="M301">
        <v>0</v>
      </c>
      <c r="O301">
        <v>0</v>
      </c>
    </row>
    <row r="302" spans="5:15" x14ac:dyDescent="0.3">
      <c r="E302">
        <v>0</v>
      </c>
      <c r="G302">
        <v>0</v>
      </c>
      <c r="I302">
        <v>0</v>
      </c>
      <c r="K302">
        <v>0</v>
      </c>
      <c r="M302">
        <v>0</v>
      </c>
      <c r="O302">
        <v>0</v>
      </c>
    </row>
    <row r="303" spans="5:15" x14ac:dyDescent="0.3">
      <c r="E303">
        <v>0</v>
      </c>
      <c r="G303">
        <v>0</v>
      </c>
      <c r="I303">
        <v>0</v>
      </c>
      <c r="K303">
        <v>0</v>
      </c>
      <c r="M303">
        <v>0</v>
      </c>
      <c r="O303">
        <v>0</v>
      </c>
    </row>
    <row r="304" spans="5:15" x14ac:dyDescent="0.3">
      <c r="E304">
        <v>0</v>
      </c>
      <c r="G304">
        <v>0</v>
      </c>
      <c r="I304">
        <v>0</v>
      </c>
      <c r="K304">
        <v>0</v>
      </c>
      <c r="M304">
        <v>0</v>
      </c>
      <c r="O304">
        <v>0</v>
      </c>
    </row>
    <row r="305" spans="5:15" x14ac:dyDescent="0.3">
      <c r="E305">
        <v>0</v>
      </c>
      <c r="G305">
        <v>0</v>
      </c>
      <c r="I305">
        <v>0</v>
      </c>
      <c r="K305">
        <v>0</v>
      </c>
      <c r="M305">
        <v>0</v>
      </c>
      <c r="O305">
        <v>0</v>
      </c>
    </row>
    <row r="306" spans="5:15" x14ac:dyDescent="0.3">
      <c r="E306">
        <v>0</v>
      </c>
      <c r="G306">
        <v>0</v>
      </c>
      <c r="I306">
        <v>0</v>
      </c>
      <c r="K306">
        <v>0</v>
      </c>
      <c r="M306">
        <v>0</v>
      </c>
      <c r="O306">
        <v>0</v>
      </c>
    </row>
    <row r="307" spans="5:15" x14ac:dyDescent="0.3">
      <c r="E307">
        <v>0</v>
      </c>
      <c r="G307">
        <v>0</v>
      </c>
      <c r="I307">
        <v>0</v>
      </c>
      <c r="K307">
        <v>0</v>
      </c>
      <c r="M307">
        <v>0</v>
      </c>
      <c r="O307">
        <v>0</v>
      </c>
    </row>
    <row r="308" spans="5:15" x14ac:dyDescent="0.3">
      <c r="E308">
        <v>0</v>
      </c>
      <c r="G308">
        <v>0</v>
      </c>
      <c r="I308">
        <v>0</v>
      </c>
      <c r="K308">
        <v>0</v>
      </c>
      <c r="M308">
        <v>0</v>
      </c>
      <c r="O308">
        <v>0</v>
      </c>
    </row>
    <row r="309" spans="5:15" x14ac:dyDescent="0.3">
      <c r="E309">
        <v>0</v>
      </c>
      <c r="G309">
        <v>0</v>
      </c>
      <c r="I309">
        <v>0</v>
      </c>
      <c r="K309">
        <v>0</v>
      </c>
      <c r="M309">
        <v>0</v>
      </c>
      <c r="O309">
        <v>0</v>
      </c>
    </row>
    <row r="310" spans="5:15" x14ac:dyDescent="0.3">
      <c r="E310">
        <v>0</v>
      </c>
      <c r="G310">
        <v>0</v>
      </c>
      <c r="I310">
        <v>0</v>
      </c>
      <c r="K310">
        <v>0</v>
      </c>
      <c r="M310">
        <v>0</v>
      </c>
      <c r="O310">
        <v>0</v>
      </c>
    </row>
    <row r="311" spans="5:15" x14ac:dyDescent="0.3">
      <c r="E311">
        <v>0</v>
      </c>
      <c r="G311">
        <v>0</v>
      </c>
      <c r="I311">
        <v>0</v>
      </c>
      <c r="K311">
        <v>0</v>
      </c>
      <c r="M311">
        <v>0</v>
      </c>
      <c r="O311">
        <v>0</v>
      </c>
    </row>
    <row r="312" spans="5:15" x14ac:dyDescent="0.3">
      <c r="E312">
        <v>0</v>
      </c>
      <c r="G312">
        <v>0</v>
      </c>
      <c r="I312">
        <v>0</v>
      </c>
      <c r="K312">
        <v>0</v>
      </c>
      <c r="M312">
        <v>0</v>
      </c>
      <c r="O312">
        <v>0</v>
      </c>
    </row>
    <row r="313" spans="5:15" x14ac:dyDescent="0.3">
      <c r="E313">
        <v>0</v>
      </c>
      <c r="G313">
        <v>0</v>
      </c>
      <c r="I313">
        <v>0</v>
      </c>
      <c r="K313">
        <v>0</v>
      </c>
      <c r="M313">
        <v>0</v>
      </c>
      <c r="O313">
        <v>0</v>
      </c>
    </row>
    <row r="314" spans="5:15" x14ac:dyDescent="0.3">
      <c r="E314">
        <v>0</v>
      </c>
      <c r="G314">
        <v>0</v>
      </c>
      <c r="I314">
        <v>0</v>
      </c>
      <c r="K314">
        <v>0</v>
      </c>
      <c r="M314">
        <v>0</v>
      </c>
      <c r="O314">
        <v>0</v>
      </c>
    </row>
    <row r="315" spans="5:15" x14ac:dyDescent="0.3">
      <c r="E315">
        <v>0</v>
      </c>
      <c r="G315">
        <v>0</v>
      </c>
      <c r="I315">
        <v>0</v>
      </c>
      <c r="K315">
        <v>0</v>
      </c>
      <c r="M315">
        <v>0</v>
      </c>
      <c r="O315">
        <v>0</v>
      </c>
    </row>
    <row r="316" spans="5:15" x14ac:dyDescent="0.3">
      <c r="E316">
        <v>0</v>
      </c>
      <c r="G316">
        <v>0</v>
      </c>
      <c r="I316">
        <v>0</v>
      </c>
      <c r="K316">
        <v>0</v>
      </c>
      <c r="M316">
        <v>0</v>
      </c>
      <c r="O316">
        <v>0</v>
      </c>
    </row>
    <row r="317" spans="5:15" x14ac:dyDescent="0.3">
      <c r="E317">
        <v>0</v>
      </c>
      <c r="G317">
        <v>0</v>
      </c>
      <c r="I317">
        <v>0</v>
      </c>
      <c r="K317">
        <v>0</v>
      </c>
      <c r="M317">
        <v>0</v>
      </c>
      <c r="O317">
        <v>0</v>
      </c>
    </row>
    <row r="318" spans="5:15" x14ac:dyDescent="0.3">
      <c r="E318">
        <v>0</v>
      </c>
      <c r="G318">
        <v>0</v>
      </c>
      <c r="I318">
        <v>0</v>
      </c>
      <c r="K318">
        <v>0</v>
      </c>
      <c r="M318">
        <v>0</v>
      </c>
      <c r="O318">
        <v>0</v>
      </c>
    </row>
    <row r="319" spans="5:15" x14ac:dyDescent="0.3">
      <c r="E319">
        <v>0</v>
      </c>
      <c r="G319">
        <v>0</v>
      </c>
      <c r="I319">
        <v>0</v>
      </c>
      <c r="K319">
        <v>0</v>
      </c>
      <c r="M319">
        <v>0</v>
      </c>
      <c r="O319">
        <v>0</v>
      </c>
    </row>
    <row r="320" spans="5:15" x14ac:dyDescent="0.3">
      <c r="E320">
        <v>0</v>
      </c>
      <c r="G320">
        <v>0</v>
      </c>
      <c r="I320">
        <v>0</v>
      </c>
      <c r="K320">
        <v>0</v>
      </c>
      <c r="M320">
        <v>0</v>
      </c>
      <c r="O320">
        <v>0</v>
      </c>
    </row>
    <row r="321" spans="5:15" x14ac:dyDescent="0.3">
      <c r="E321">
        <v>0</v>
      </c>
      <c r="G321">
        <v>0</v>
      </c>
      <c r="I321">
        <v>0</v>
      </c>
      <c r="K321">
        <v>0</v>
      </c>
      <c r="M321">
        <v>0</v>
      </c>
      <c r="O321">
        <v>0</v>
      </c>
    </row>
    <row r="322" spans="5:15" x14ac:dyDescent="0.3">
      <c r="E322">
        <v>0</v>
      </c>
      <c r="G322">
        <v>0</v>
      </c>
      <c r="I322">
        <v>0</v>
      </c>
      <c r="K322">
        <v>0</v>
      </c>
      <c r="M322">
        <v>0</v>
      </c>
      <c r="O322">
        <v>0</v>
      </c>
    </row>
    <row r="323" spans="5:15" x14ac:dyDescent="0.3">
      <c r="E323">
        <v>0</v>
      </c>
      <c r="G323">
        <v>0</v>
      </c>
      <c r="I323">
        <v>0</v>
      </c>
      <c r="K323">
        <v>0</v>
      </c>
      <c r="M323">
        <v>0</v>
      </c>
      <c r="O323">
        <v>0</v>
      </c>
    </row>
    <row r="324" spans="5:15" x14ac:dyDescent="0.3">
      <c r="E324">
        <v>0</v>
      </c>
      <c r="G324">
        <v>0</v>
      </c>
      <c r="I324">
        <v>0</v>
      </c>
      <c r="K324">
        <v>0</v>
      </c>
      <c r="M324">
        <v>0</v>
      </c>
      <c r="O324">
        <v>0</v>
      </c>
    </row>
    <row r="325" spans="5:15" x14ac:dyDescent="0.3">
      <c r="E325">
        <v>0</v>
      </c>
      <c r="G325">
        <v>0</v>
      </c>
      <c r="I325">
        <v>0</v>
      </c>
      <c r="K325">
        <v>0</v>
      </c>
      <c r="M325">
        <v>0</v>
      </c>
      <c r="O325">
        <v>0</v>
      </c>
    </row>
    <row r="326" spans="5:15" x14ac:dyDescent="0.3">
      <c r="E326">
        <v>0</v>
      </c>
      <c r="G326">
        <v>0</v>
      </c>
      <c r="I326">
        <v>0</v>
      </c>
      <c r="K326">
        <v>0</v>
      </c>
      <c r="M326">
        <v>0</v>
      </c>
      <c r="O326">
        <v>0</v>
      </c>
    </row>
    <row r="327" spans="5:15" x14ac:dyDescent="0.3">
      <c r="E327">
        <v>0</v>
      </c>
      <c r="G327">
        <v>0</v>
      </c>
      <c r="I327">
        <v>0</v>
      </c>
      <c r="K327">
        <v>0</v>
      </c>
      <c r="M327">
        <v>0</v>
      </c>
      <c r="O327">
        <v>0</v>
      </c>
    </row>
    <row r="328" spans="5:15" x14ac:dyDescent="0.3">
      <c r="E328">
        <v>0</v>
      </c>
      <c r="G328">
        <v>0</v>
      </c>
      <c r="I328">
        <v>0</v>
      </c>
      <c r="K328">
        <v>0</v>
      </c>
      <c r="M328">
        <v>0</v>
      </c>
      <c r="O328">
        <v>0</v>
      </c>
    </row>
    <row r="329" spans="5:15" x14ac:dyDescent="0.3">
      <c r="E329">
        <v>0</v>
      </c>
      <c r="G329">
        <v>0</v>
      </c>
      <c r="I329">
        <v>0</v>
      </c>
      <c r="K329">
        <v>0</v>
      </c>
      <c r="M329">
        <v>0</v>
      </c>
      <c r="O329">
        <v>0</v>
      </c>
    </row>
    <row r="330" spans="5:15" x14ac:dyDescent="0.3">
      <c r="E330">
        <v>0</v>
      </c>
      <c r="G330">
        <v>0</v>
      </c>
      <c r="I330">
        <v>0</v>
      </c>
      <c r="K330">
        <v>0</v>
      </c>
      <c r="M330">
        <v>0</v>
      </c>
      <c r="O330">
        <v>0</v>
      </c>
    </row>
    <row r="331" spans="5:15" x14ac:dyDescent="0.3">
      <c r="E331">
        <v>0</v>
      </c>
      <c r="G331">
        <v>0</v>
      </c>
      <c r="I331">
        <v>0</v>
      </c>
      <c r="K331">
        <v>0</v>
      </c>
      <c r="M331">
        <v>0</v>
      </c>
      <c r="O331">
        <v>0</v>
      </c>
    </row>
    <row r="332" spans="5:15" x14ac:dyDescent="0.3">
      <c r="E332">
        <v>0</v>
      </c>
      <c r="G332">
        <v>0</v>
      </c>
      <c r="I332">
        <v>0</v>
      </c>
      <c r="K332">
        <v>0</v>
      </c>
      <c r="M332">
        <v>0</v>
      </c>
      <c r="O332">
        <v>0</v>
      </c>
    </row>
    <row r="333" spans="5:15" x14ac:dyDescent="0.3">
      <c r="E333">
        <v>0</v>
      </c>
      <c r="G333">
        <v>0</v>
      </c>
      <c r="I333">
        <v>0</v>
      </c>
      <c r="K333">
        <v>0</v>
      </c>
      <c r="M333">
        <v>0</v>
      </c>
      <c r="O333">
        <v>0</v>
      </c>
    </row>
    <row r="334" spans="5:15" x14ac:dyDescent="0.3">
      <c r="E334">
        <v>0</v>
      </c>
      <c r="G334">
        <v>0</v>
      </c>
      <c r="I334">
        <v>0</v>
      </c>
      <c r="K334">
        <v>0</v>
      </c>
      <c r="M334">
        <v>0</v>
      </c>
      <c r="O334">
        <v>0</v>
      </c>
    </row>
    <row r="335" spans="5:15" x14ac:dyDescent="0.3">
      <c r="E335">
        <v>0</v>
      </c>
      <c r="G335">
        <v>0</v>
      </c>
      <c r="I335">
        <v>0</v>
      </c>
      <c r="K335">
        <v>0</v>
      </c>
      <c r="M335">
        <v>0</v>
      </c>
      <c r="O335">
        <v>0</v>
      </c>
    </row>
    <row r="336" spans="5:15" x14ac:dyDescent="0.3">
      <c r="E336">
        <v>0</v>
      </c>
      <c r="G336">
        <v>0</v>
      </c>
      <c r="I336">
        <v>0</v>
      </c>
      <c r="K336">
        <v>0</v>
      </c>
      <c r="M336">
        <v>0</v>
      </c>
      <c r="O336">
        <v>0</v>
      </c>
    </row>
    <row r="337" spans="5:15" x14ac:dyDescent="0.3">
      <c r="E337">
        <v>0</v>
      </c>
      <c r="G337">
        <v>0</v>
      </c>
      <c r="I337">
        <v>0</v>
      </c>
      <c r="K337">
        <v>0</v>
      </c>
      <c r="M337">
        <v>0</v>
      </c>
      <c r="O337">
        <v>0</v>
      </c>
    </row>
    <row r="338" spans="5:15" x14ac:dyDescent="0.3">
      <c r="E338">
        <v>0</v>
      </c>
      <c r="G338">
        <v>0</v>
      </c>
      <c r="I338">
        <v>0</v>
      </c>
      <c r="K338">
        <v>0</v>
      </c>
      <c r="M338">
        <v>0</v>
      </c>
      <c r="O338">
        <v>0</v>
      </c>
    </row>
    <row r="339" spans="5:15" x14ac:dyDescent="0.3">
      <c r="E339">
        <v>0</v>
      </c>
      <c r="G339">
        <v>0</v>
      </c>
      <c r="I339">
        <v>0</v>
      </c>
      <c r="K339">
        <v>0</v>
      </c>
      <c r="M339">
        <v>0</v>
      </c>
      <c r="O339">
        <v>0</v>
      </c>
    </row>
    <row r="340" spans="5:15" x14ac:dyDescent="0.3">
      <c r="E340">
        <v>0</v>
      </c>
      <c r="G340">
        <v>0</v>
      </c>
      <c r="I340">
        <v>0</v>
      </c>
      <c r="K340">
        <v>0</v>
      </c>
      <c r="M340">
        <v>0</v>
      </c>
      <c r="O340">
        <v>0</v>
      </c>
    </row>
    <row r="341" spans="5:15" x14ac:dyDescent="0.3">
      <c r="E341">
        <v>0</v>
      </c>
      <c r="G341">
        <v>0</v>
      </c>
      <c r="I341">
        <v>0</v>
      </c>
      <c r="K341">
        <v>0</v>
      </c>
      <c r="M341">
        <v>0</v>
      </c>
      <c r="O341">
        <v>0</v>
      </c>
    </row>
    <row r="342" spans="5:15" x14ac:dyDescent="0.3">
      <c r="E342">
        <v>0</v>
      </c>
      <c r="G342">
        <v>0</v>
      </c>
      <c r="I342">
        <v>0</v>
      </c>
      <c r="K342">
        <v>0</v>
      </c>
      <c r="M342">
        <v>0</v>
      </c>
      <c r="O342">
        <v>0</v>
      </c>
    </row>
    <row r="343" spans="5:15" x14ac:dyDescent="0.3">
      <c r="E343">
        <v>0</v>
      </c>
      <c r="G343">
        <v>0</v>
      </c>
      <c r="I343">
        <v>0</v>
      </c>
      <c r="K343">
        <v>0</v>
      </c>
      <c r="M343">
        <v>0</v>
      </c>
      <c r="O343">
        <v>0</v>
      </c>
    </row>
    <row r="344" spans="5:15" x14ac:dyDescent="0.3">
      <c r="E344">
        <v>0</v>
      </c>
      <c r="G344">
        <v>0</v>
      </c>
      <c r="I344">
        <v>0</v>
      </c>
      <c r="K344">
        <v>0</v>
      </c>
      <c r="M344">
        <v>0</v>
      </c>
      <c r="O344">
        <v>0</v>
      </c>
    </row>
    <row r="345" spans="5:15" x14ac:dyDescent="0.3">
      <c r="E345">
        <v>0</v>
      </c>
      <c r="G345">
        <v>0</v>
      </c>
      <c r="I345">
        <v>0</v>
      </c>
      <c r="K345">
        <v>0</v>
      </c>
      <c r="M345">
        <v>0</v>
      </c>
      <c r="O345">
        <v>0</v>
      </c>
    </row>
    <row r="346" spans="5:15" x14ac:dyDescent="0.3">
      <c r="E346">
        <v>0</v>
      </c>
      <c r="G346">
        <v>0</v>
      </c>
      <c r="I346">
        <v>0</v>
      </c>
      <c r="K346">
        <v>0</v>
      </c>
      <c r="M346">
        <v>0</v>
      </c>
      <c r="O346">
        <v>0</v>
      </c>
    </row>
    <row r="347" spans="5:15" x14ac:dyDescent="0.3">
      <c r="E347">
        <v>0</v>
      </c>
      <c r="G347">
        <v>0</v>
      </c>
      <c r="I347">
        <v>0</v>
      </c>
      <c r="K347">
        <v>0</v>
      </c>
      <c r="M347">
        <v>0</v>
      </c>
      <c r="O347">
        <v>0</v>
      </c>
    </row>
    <row r="348" spans="5:15" x14ac:dyDescent="0.3">
      <c r="E348">
        <v>0</v>
      </c>
      <c r="G348">
        <v>0</v>
      </c>
      <c r="I348">
        <v>0</v>
      </c>
      <c r="K348">
        <v>0</v>
      </c>
      <c r="M348">
        <v>0</v>
      </c>
      <c r="O348">
        <v>0</v>
      </c>
    </row>
    <row r="349" spans="5:15" x14ac:dyDescent="0.3">
      <c r="E349">
        <v>0</v>
      </c>
      <c r="G349">
        <v>0</v>
      </c>
      <c r="I349">
        <v>0</v>
      </c>
      <c r="K349">
        <v>0</v>
      </c>
      <c r="M349">
        <v>0</v>
      </c>
      <c r="O349">
        <v>0</v>
      </c>
    </row>
    <row r="350" spans="5:15" x14ac:dyDescent="0.3">
      <c r="E350">
        <v>0</v>
      </c>
      <c r="G350">
        <v>0</v>
      </c>
      <c r="I350">
        <v>0</v>
      </c>
      <c r="K350">
        <v>0</v>
      </c>
      <c r="M350">
        <v>0</v>
      </c>
      <c r="O350">
        <v>0</v>
      </c>
    </row>
    <row r="351" spans="5:15" x14ac:dyDescent="0.3">
      <c r="E351">
        <v>0</v>
      </c>
      <c r="G351">
        <v>0</v>
      </c>
      <c r="I351">
        <v>0</v>
      </c>
      <c r="K351">
        <v>0</v>
      </c>
      <c r="M351">
        <v>0</v>
      </c>
      <c r="O351">
        <v>0</v>
      </c>
    </row>
    <row r="352" spans="5:15" x14ac:dyDescent="0.3">
      <c r="E352">
        <v>0</v>
      </c>
      <c r="G352">
        <v>0</v>
      </c>
      <c r="I352">
        <v>0</v>
      </c>
      <c r="K352">
        <v>0</v>
      </c>
      <c r="M352">
        <v>0</v>
      </c>
      <c r="O352">
        <v>0</v>
      </c>
    </row>
    <row r="353" spans="5:15" x14ac:dyDescent="0.3">
      <c r="E353">
        <v>0</v>
      </c>
      <c r="G353">
        <v>0</v>
      </c>
      <c r="I353">
        <v>0</v>
      </c>
      <c r="K353">
        <v>0</v>
      </c>
      <c r="M353">
        <v>0</v>
      </c>
      <c r="O353">
        <v>0</v>
      </c>
    </row>
    <row r="354" spans="5:15" x14ac:dyDescent="0.3">
      <c r="E354">
        <v>0</v>
      </c>
      <c r="G354">
        <v>0</v>
      </c>
      <c r="I354">
        <v>0</v>
      </c>
      <c r="K354">
        <v>0</v>
      </c>
      <c r="M354">
        <v>0</v>
      </c>
      <c r="O354">
        <v>0</v>
      </c>
    </row>
    <row r="355" spans="5:15" x14ac:dyDescent="0.3">
      <c r="E355">
        <v>0</v>
      </c>
      <c r="G355">
        <v>0</v>
      </c>
      <c r="I355">
        <v>0</v>
      </c>
      <c r="K355">
        <v>0</v>
      </c>
      <c r="M355">
        <v>0</v>
      </c>
      <c r="O355">
        <v>0</v>
      </c>
    </row>
    <row r="356" spans="5:15" x14ac:dyDescent="0.3">
      <c r="E356">
        <v>0</v>
      </c>
      <c r="G356">
        <v>0</v>
      </c>
      <c r="I356">
        <v>0</v>
      </c>
      <c r="K356">
        <v>0</v>
      </c>
      <c r="M356">
        <v>0</v>
      </c>
      <c r="O356">
        <v>0</v>
      </c>
    </row>
    <row r="357" spans="5:15" x14ac:dyDescent="0.3">
      <c r="E357">
        <v>0</v>
      </c>
      <c r="G357">
        <v>0</v>
      </c>
      <c r="I357">
        <v>0</v>
      </c>
      <c r="K357">
        <v>0</v>
      </c>
      <c r="M357">
        <v>0</v>
      </c>
      <c r="O357">
        <v>0</v>
      </c>
    </row>
    <row r="358" spans="5:15" x14ac:dyDescent="0.3">
      <c r="E358">
        <v>0</v>
      </c>
      <c r="G358">
        <v>0</v>
      </c>
      <c r="I358">
        <v>0</v>
      </c>
      <c r="K358">
        <v>0</v>
      </c>
      <c r="M358">
        <v>0</v>
      </c>
      <c r="O358">
        <v>0</v>
      </c>
    </row>
    <row r="359" spans="5:15" x14ac:dyDescent="0.3">
      <c r="E359">
        <v>0</v>
      </c>
      <c r="G359">
        <v>0</v>
      </c>
      <c r="I359">
        <v>0</v>
      </c>
      <c r="K359">
        <v>0</v>
      </c>
      <c r="M359">
        <v>0</v>
      </c>
      <c r="O359">
        <v>0</v>
      </c>
    </row>
    <row r="360" spans="5:15" x14ac:dyDescent="0.3">
      <c r="E360">
        <v>0</v>
      </c>
      <c r="G360">
        <v>0</v>
      </c>
      <c r="I360">
        <v>0</v>
      </c>
      <c r="K360">
        <v>0</v>
      </c>
      <c r="M360">
        <v>0</v>
      </c>
      <c r="O360">
        <v>0</v>
      </c>
    </row>
    <row r="361" spans="5:15" x14ac:dyDescent="0.3">
      <c r="E361">
        <v>0</v>
      </c>
      <c r="G361">
        <v>0</v>
      </c>
      <c r="I361">
        <v>0</v>
      </c>
      <c r="K361">
        <v>0</v>
      </c>
      <c r="M361">
        <v>0</v>
      </c>
      <c r="O361">
        <v>0</v>
      </c>
    </row>
    <row r="362" spans="5:15" x14ac:dyDescent="0.3">
      <c r="E362">
        <v>0</v>
      </c>
      <c r="G362">
        <v>0</v>
      </c>
      <c r="I362">
        <v>0</v>
      </c>
      <c r="K362">
        <v>0</v>
      </c>
      <c r="M362">
        <v>0</v>
      </c>
      <c r="O362">
        <v>0</v>
      </c>
    </row>
    <row r="363" spans="5:15" x14ac:dyDescent="0.3">
      <c r="E363">
        <v>0</v>
      </c>
      <c r="G363">
        <v>0</v>
      </c>
      <c r="I363">
        <v>0</v>
      </c>
      <c r="K363">
        <v>0</v>
      </c>
      <c r="M363">
        <v>0</v>
      </c>
      <c r="O363">
        <v>0</v>
      </c>
    </row>
    <row r="364" spans="5:15" x14ac:dyDescent="0.3">
      <c r="E364">
        <v>0</v>
      </c>
      <c r="G364">
        <v>0</v>
      </c>
      <c r="I364">
        <v>0</v>
      </c>
      <c r="K364">
        <v>0</v>
      </c>
      <c r="M364">
        <v>0</v>
      </c>
      <c r="O364">
        <v>0</v>
      </c>
    </row>
    <row r="365" spans="5:15" x14ac:dyDescent="0.3">
      <c r="E365">
        <v>0</v>
      </c>
      <c r="G365">
        <v>0</v>
      </c>
      <c r="I365">
        <v>0</v>
      </c>
      <c r="K365">
        <v>0</v>
      </c>
      <c r="M365">
        <v>0</v>
      </c>
      <c r="O365">
        <v>0</v>
      </c>
    </row>
    <row r="366" spans="5:15" x14ac:dyDescent="0.3">
      <c r="E366">
        <v>0</v>
      </c>
      <c r="G366">
        <v>0</v>
      </c>
      <c r="I366">
        <v>0</v>
      </c>
      <c r="K366">
        <v>0</v>
      </c>
      <c r="M366">
        <v>0</v>
      </c>
      <c r="O366">
        <v>0</v>
      </c>
    </row>
    <row r="367" spans="5:15" x14ac:dyDescent="0.3">
      <c r="E367">
        <v>0</v>
      </c>
      <c r="G367">
        <v>0</v>
      </c>
      <c r="I367">
        <v>0</v>
      </c>
      <c r="K367">
        <v>0</v>
      </c>
      <c r="M367">
        <v>0</v>
      </c>
      <c r="O367">
        <v>0</v>
      </c>
    </row>
    <row r="368" spans="5:15" x14ac:dyDescent="0.3">
      <c r="E368">
        <v>0</v>
      </c>
      <c r="G368">
        <v>0</v>
      </c>
      <c r="I368">
        <v>0</v>
      </c>
      <c r="K368">
        <v>0</v>
      </c>
      <c r="M368">
        <v>0</v>
      </c>
      <c r="O368">
        <v>0</v>
      </c>
    </row>
    <row r="369" spans="5:15" x14ac:dyDescent="0.3">
      <c r="E369">
        <v>0</v>
      </c>
      <c r="G369">
        <v>0</v>
      </c>
      <c r="I369">
        <v>0</v>
      </c>
      <c r="K369">
        <v>0</v>
      </c>
      <c r="M369">
        <v>0</v>
      </c>
      <c r="O369">
        <v>0</v>
      </c>
    </row>
    <row r="370" spans="5:15" x14ac:dyDescent="0.3">
      <c r="E370">
        <v>0</v>
      </c>
      <c r="G370">
        <v>0</v>
      </c>
      <c r="I370">
        <v>0</v>
      </c>
      <c r="K370">
        <v>0</v>
      </c>
      <c r="M370">
        <v>0</v>
      </c>
      <c r="O370">
        <v>0</v>
      </c>
    </row>
    <row r="371" spans="5:15" x14ac:dyDescent="0.3">
      <c r="E371">
        <v>0</v>
      </c>
      <c r="G371">
        <v>0</v>
      </c>
      <c r="I371">
        <v>0</v>
      </c>
      <c r="K371">
        <v>0</v>
      </c>
      <c r="M371">
        <v>0</v>
      </c>
      <c r="O371">
        <v>0</v>
      </c>
    </row>
    <row r="372" spans="5:15" x14ac:dyDescent="0.3">
      <c r="E372">
        <v>0</v>
      </c>
      <c r="G372">
        <v>0</v>
      </c>
      <c r="I372">
        <v>0</v>
      </c>
      <c r="K372">
        <v>0</v>
      </c>
      <c r="M372">
        <v>0</v>
      </c>
      <c r="O372">
        <v>0</v>
      </c>
    </row>
    <row r="373" spans="5:15" x14ac:dyDescent="0.3">
      <c r="E373">
        <v>0</v>
      </c>
      <c r="G373">
        <v>0</v>
      </c>
      <c r="I373">
        <v>0</v>
      </c>
      <c r="K373">
        <v>0</v>
      </c>
      <c r="M373">
        <v>0</v>
      </c>
      <c r="O373">
        <v>0</v>
      </c>
    </row>
    <row r="374" spans="5:15" x14ac:dyDescent="0.3">
      <c r="E374">
        <v>0</v>
      </c>
      <c r="G374">
        <v>0</v>
      </c>
      <c r="I374">
        <v>0</v>
      </c>
      <c r="K374">
        <v>0</v>
      </c>
      <c r="M374">
        <v>0</v>
      </c>
      <c r="O374">
        <v>0</v>
      </c>
    </row>
    <row r="375" spans="5:15" x14ac:dyDescent="0.3">
      <c r="E375">
        <v>0</v>
      </c>
      <c r="G375">
        <v>0</v>
      </c>
      <c r="I375">
        <v>0</v>
      </c>
      <c r="K375">
        <v>0</v>
      </c>
      <c r="M375">
        <v>0</v>
      </c>
      <c r="O375">
        <v>0</v>
      </c>
    </row>
    <row r="376" spans="5:15" x14ac:dyDescent="0.3">
      <c r="E376">
        <v>0</v>
      </c>
      <c r="G376">
        <v>0</v>
      </c>
      <c r="I376">
        <v>0</v>
      </c>
      <c r="K376">
        <v>0</v>
      </c>
      <c r="M376">
        <v>0</v>
      </c>
      <c r="O376">
        <v>0</v>
      </c>
    </row>
    <row r="377" spans="5:15" x14ac:dyDescent="0.3">
      <c r="E377">
        <v>0</v>
      </c>
      <c r="G377">
        <v>0</v>
      </c>
      <c r="I377">
        <v>0</v>
      </c>
      <c r="K377">
        <v>0</v>
      </c>
      <c r="M377">
        <v>0</v>
      </c>
      <c r="O377">
        <v>0</v>
      </c>
    </row>
    <row r="378" spans="5:15" x14ac:dyDescent="0.3">
      <c r="E378">
        <v>0</v>
      </c>
      <c r="G378">
        <v>0</v>
      </c>
      <c r="I378">
        <v>0</v>
      </c>
      <c r="K378">
        <v>0</v>
      </c>
      <c r="M378">
        <v>0</v>
      </c>
      <c r="O378">
        <v>0</v>
      </c>
    </row>
    <row r="379" spans="5:15" x14ac:dyDescent="0.3">
      <c r="E379">
        <v>0</v>
      </c>
      <c r="G379">
        <v>0</v>
      </c>
      <c r="I379">
        <v>0</v>
      </c>
      <c r="K379">
        <v>0</v>
      </c>
      <c r="M379">
        <v>0</v>
      </c>
      <c r="O379">
        <v>0</v>
      </c>
    </row>
    <row r="380" spans="5:15" x14ac:dyDescent="0.3">
      <c r="E380">
        <v>0</v>
      </c>
      <c r="G380">
        <v>0</v>
      </c>
      <c r="I380">
        <v>0</v>
      </c>
      <c r="K380">
        <v>0</v>
      </c>
      <c r="M380">
        <v>0</v>
      </c>
      <c r="O380">
        <v>0</v>
      </c>
    </row>
    <row r="381" spans="5:15" x14ac:dyDescent="0.3">
      <c r="E381">
        <v>0</v>
      </c>
      <c r="G381">
        <v>0</v>
      </c>
      <c r="I381">
        <v>0</v>
      </c>
      <c r="K381">
        <v>0</v>
      </c>
      <c r="M381">
        <v>0</v>
      </c>
      <c r="O381">
        <v>0</v>
      </c>
    </row>
    <row r="382" spans="5:15" x14ac:dyDescent="0.3">
      <c r="E382">
        <v>0</v>
      </c>
      <c r="G382">
        <v>0</v>
      </c>
      <c r="I382">
        <v>0</v>
      </c>
      <c r="K382">
        <v>0</v>
      </c>
      <c r="M382">
        <v>0</v>
      </c>
      <c r="O382">
        <v>0</v>
      </c>
    </row>
    <row r="383" spans="5:15" x14ac:dyDescent="0.3">
      <c r="E383">
        <v>0</v>
      </c>
      <c r="G383">
        <v>0</v>
      </c>
      <c r="I383">
        <v>0</v>
      </c>
      <c r="K383">
        <v>0</v>
      </c>
      <c r="M383">
        <v>0</v>
      </c>
      <c r="O383">
        <v>0</v>
      </c>
    </row>
    <row r="384" spans="5:15" x14ac:dyDescent="0.3">
      <c r="E384">
        <v>0</v>
      </c>
      <c r="G384">
        <v>0</v>
      </c>
      <c r="I384">
        <v>0</v>
      </c>
      <c r="K384">
        <v>0</v>
      </c>
      <c r="M384">
        <v>0</v>
      </c>
      <c r="O384">
        <v>0</v>
      </c>
    </row>
    <row r="385" spans="5:15" x14ac:dyDescent="0.3">
      <c r="E385">
        <v>0</v>
      </c>
      <c r="G385">
        <v>0</v>
      </c>
      <c r="I385">
        <v>0</v>
      </c>
      <c r="K385">
        <v>0</v>
      </c>
      <c r="M385">
        <v>0</v>
      </c>
      <c r="O385">
        <v>0</v>
      </c>
    </row>
    <row r="386" spans="5:15" x14ac:dyDescent="0.3">
      <c r="E386">
        <v>0</v>
      </c>
      <c r="G386">
        <v>0</v>
      </c>
      <c r="I386">
        <v>0</v>
      </c>
      <c r="K386">
        <v>0</v>
      </c>
      <c r="M386">
        <v>0</v>
      </c>
      <c r="O386">
        <v>0</v>
      </c>
    </row>
    <row r="387" spans="5:15" x14ac:dyDescent="0.3">
      <c r="E387">
        <v>0</v>
      </c>
      <c r="G387">
        <v>0</v>
      </c>
      <c r="I387">
        <v>0</v>
      </c>
      <c r="K387">
        <v>0</v>
      </c>
      <c r="M387">
        <v>0</v>
      </c>
      <c r="O387">
        <v>0</v>
      </c>
    </row>
    <row r="388" spans="5:15" x14ac:dyDescent="0.3">
      <c r="E388">
        <v>0</v>
      </c>
      <c r="G388">
        <v>0</v>
      </c>
      <c r="I388">
        <v>0</v>
      </c>
      <c r="K388">
        <v>0</v>
      </c>
      <c r="M388">
        <v>0</v>
      </c>
      <c r="O388">
        <v>0</v>
      </c>
    </row>
    <row r="389" spans="5:15" x14ac:dyDescent="0.3">
      <c r="E389">
        <v>0</v>
      </c>
      <c r="G389">
        <v>0</v>
      </c>
      <c r="I389">
        <v>0</v>
      </c>
      <c r="K389">
        <v>0</v>
      </c>
      <c r="M389">
        <v>0</v>
      </c>
      <c r="O389">
        <v>0</v>
      </c>
    </row>
    <row r="390" spans="5:15" x14ac:dyDescent="0.3">
      <c r="E390">
        <v>0</v>
      </c>
      <c r="G390">
        <v>0</v>
      </c>
      <c r="I390">
        <v>0</v>
      </c>
      <c r="K390">
        <v>0</v>
      </c>
      <c r="M390">
        <v>0</v>
      </c>
      <c r="O390">
        <v>0</v>
      </c>
    </row>
    <row r="391" spans="5:15" x14ac:dyDescent="0.3">
      <c r="E391">
        <v>0</v>
      </c>
      <c r="G391">
        <v>0</v>
      </c>
      <c r="I391">
        <v>0</v>
      </c>
      <c r="K391">
        <v>0</v>
      </c>
      <c r="M391">
        <v>0</v>
      </c>
      <c r="O391">
        <v>0</v>
      </c>
    </row>
    <row r="392" spans="5:15" x14ac:dyDescent="0.3">
      <c r="E392">
        <v>0</v>
      </c>
      <c r="G392">
        <v>0</v>
      </c>
      <c r="I392">
        <v>0</v>
      </c>
      <c r="K392">
        <v>0</v>
      </c>
      <c r="M392">
        <v>0</v>
      </c>
      <c r="O392">
        <v>0</v>
      </c>
    </row>
    <row r="393" spans="5:15" x14ac:dyDescent="0.3">
      <c r="E393">
        <v>0</v>
      </c>
      <c r="G393">
        <v>0</v>
      </c>
      <c r="I393">
        <v>0</v>
      </c>
      <c r="K393">
        <v>0</v>
      </c>
      <c r="M393">
        <v>0</v>
      </c>
      <c r="O393">
        <v>0</v>
      </c>
    </row>
    <row r="394" spans="5:15" x14ac:dyDescent="0.3">
      <c r="E394">
        <v>0</v>
      </c>
      <c r="G394">
        <v>0</v>
      </c>
      <c r="I394">
        <v>0</v>
      </c>
      <c r="K394">
        <v>0</v>
      </c>
      <c r="M394">
        <v>0</v>
      </c>
      <c r="O394">
        <v>0</v>
      </c>
    </row>
    <row r="395" spans="5:15" x14ac:dyDescent="0.3">
      <c r="E395">
        <v>0</v>
      </c>
      <c r="G395">
        <v>0</v>
      </c>
      <c r="I395">
        <v>0</v>
      </c>
      <c r="K395">
        <v>0</v>
      </c>
      <c r="M395">
        <v>0</v>
      </c>
      <c r="O395">
        <v>0</v>
      </c>
    </row>
    <row r="396" spans="5:15" x14ac:dyDescent="0.3">
      <c r="E396">
        <v>0</v>
      </c>
      <c r="G396">
        <v>0</v>
      </c>
      <c r="I396">
        <v>0</v>
      </c>
      <c r="K396">
        <v>0</v>
      </c>
      <c r="M396">
        <v>0</v>
      </c>
      <c r="O396">
        <v>0</v>
      </c>
    </row>
    <row r="397" spans="5:15" x14ac:dyDescent="0.3">
      <c r="E397">
        <v>0</v>
      </c>
      <c r="G397">
        <v>0</v>
      </c>
      <c r="I397">
        <v>0</v>
      </c>
      <c r="K397">
        <v>0</v>
      </c>
      <c r="M397">
        <v>0</v>
      </c>
      <c r="O397">
        <v>0</v>
      </c>
    </row>
    <row r="398" spans="5:15" x14ac:dyDescent="0.3">
      <c r="E398">
        <v>0</v>
      </c>
      <c r="G398">
        <v>0</v>
      </c>
      <c r="I398">
        <v>0</v>
      </c>
      <c r="K398">
        <v>0</v>
      </c>
      <c r="M398">
        <v>0</v>
      </c>
      <c r="O398">
        <v>0</v>
      </c>
    </row>
    <row r="399" spans="5:15" x14ac:dyDescent="0.3">
      <c r="E399">
        <v>0</v>
      </c>
      <c r="G399">
        <v>0</v>
      </c>
      <c r="I399">
        <v>0</v>
      </c>
      <c r="K399">
        <v>0</v>
      </c>
      <c r="M399">
        <v>0</v>
      </c>
      <c r="O399">
        <v>0</v>
      </c>
    </row>
    <row r="400" spans="5:15" x14ac:dyDescent="0.3">
      <c r="E400">
        <v>0</v>
      </c>
      <c r="G400">
        <v>0</v>
      </c>
      <c r="I400">
        <v>0</v>
      </c>
      <c r="K400">
        <v>0</v>
      </c>
      <c r="M400">
        <v>0</v>
      </c>
      <c r="O400">
        <v>0</v>
      </c>
    </row>
    <row r="401" spans="5:15" x14ac:dyDescent="0.3">
      <c r="E401">
        <v>0</v>
      </c>
      <c r="G401">
        <v>0</v>
      </c>
      <c r="I401">
        <v>0</v>
      </c>
      <c r="K401">
        <v>0</v>
      </c>
      <c r="M401">
        <v>0</v>
      </c>
      <c r="O401">
        <v>0</v>
      </c>
    </row>
    <row r="402" spans="5:15" x14ac:dyDescent="0.3">
      <c r="E402">
        <v>0</v>
      </c>
      <c r="G402">
        <v>0</v>
      </c>
      <c r="I402">
        <v>0</v>
      </c>
      <c r="K402">
        <v>0</v>
      </c>
      <c r="M402">
        <v>0</v>
      </c>
      <c r="O402">
        <v>0</v>
      </c>
    </row>
    <row r="403" spans="5:15" x14ac:dyDescent="0.3">
      <c r="E403">
        <v>0</v>
      </c>
      <c r="G403">
        <v>0</v>
      </c>
      <c r="I403">
        <v>0</v>
      </c>
      <c r="K403">
        <v>0</v>
      </c>
      <c r="M403">
        <v>0</v>
      </c>
      <c r="O403">
        <v>0</v>
      </c>
    </row>
    <row r="404" spans="5:15" x14ac:dyDescent="0.3">
      <c r="E404">
        <v>0</v>
      </c>
      <c r="G404">
        <v>0</v>
      </c>
      <c r="I404">
        <v>0</v>
      </c>
      <c r="K404">
        <v>0</v>
      </c>
      <c r="M404">
        <v>0</v>
      </c>
      <c r="O404">
        <v>0</v>
      </c>
    </row>
    <row r="405" spans="5:15" x14ac:dyDescent="0.3">
      <c r="E405">
        <v>0</v>
      </c>
      <c r="G405">
        <v>0</v>
      </c>
      <c r="I405">
        <v>0</v>
      </c>
      <c r="K405">
        <v>0</v>
      </c>
      <c r="M405">
        <v>0</v>
      </c>
      <c r="O405">
        <v>0</v>
      </c>
    </row>
    <row r="406" spans="5:15" x14ac:dyDescent="0.3">
      <c r="E406">
        <v>0</v>
      </c>
      <c r="G406">
        <v>0</v>
      </c>
      <c r="I406">
        <v>0</v>
      </c>
      <c r="K406">
        <v>0</v>
      </c>
      <c r="M406">
        <v>0</v>
      </c>
      <c r="O406">
        <v>0</v>
      </c>
    </row>
    <row r="407" spans="5:15" x14ac:dyDescent="0.3">
      <c r="E407">
        <v>0</v>
      </c>
      <c r="G407">
        <v>0</v>
      </c>
      <c r="I407">
        <v>0</v>
      </c>
      <c r="K407">
        <v>0</v>
      </c>
      <c r="M407">
        <v>0</v>
      </c>
      <c r="O407">
        <v>0</v>
      </c>
    </row>
    <row r="408" spans="5:15" x14ac:dyDescent="0.3">
      <c r="E408">
        <v>0</v>
      </c>
      <c r="G408">
        <v>0</v>
      </c>
      <c r="I408">
        <v>0</v>
      </c>
      <c r="K408">
        <v>0</v>
      </c>
      <c r="M408">
        <v>0</v>
      </c>
      <c r="O408">
        <v>0</v>
      </c>
    </row>
    <row r="409" spans="5:15" x14ac:dyDescent="0.3">
      <c r="E409">
        <v>0</v>
      </c>
      <c r="G409">
        <v>0</v>
      </c>
      <c r="I409">
        <v>0</v>
      </c>
      <c r="K409">
        <v>0</v>
      </c>
      <c r="M409">
        <v>0</v>
      </c>
      <c r="O409">
        <v>0</v>
      </c>
    </row>
    <row r="410" spans="5:15" x14ac:dyDescent="0.3">
      <c r="E410">
        <v>0</v>
      </c>
      <c r="G410">
        <v>0</v>
      </c>
      <c r="I410">
        <v>0</v>
      </c>
      <c r="K410">
        <v>0</v>
      </c>
      <c r="M410">
        <v>0</v>
      </c>
      <c r="O410">
        <v>0</v>
      </c>
    </row>
    <row r="411" spans="5:15" x14ac:dyDescent="0.3">
      <c r="E411">
        <v>0</v>
      </c>
      <c r="G411">
        <v>0</v>
      </c>
      <c r="I411">
        <v>0</v>
      </c>
      <c r="K411">
        <v>0</v>
      </c>
      <c r="M411">
        <v>0</v>
      </c>
      <c r="O411">
        <v>0</v>
      </c>
    </row>
    <row r="412" spans="5:15" x14ac:dyDescent="0.3">
      <c r="E412">
        <v>0</v>
      </c>
      <c r="G412">
        <v>0</v>
      </c>
      <c r="I412">
        <v>0</v>
      </c>
      <c r="K412">
        <v>0</v>
      </c>
      <c r="M412">
        <v>0</v>
      </c>
      <c r="O412">
        <v>0</v>
      </c>
    </row>
    <row r="413" spans="5:15" x14ac:dyDescent="0.3">
      <c r="E413">
        <v>0</v>
      </c>
      <c r="G413">
        <v>0</v>
      </c>
      <c r="I413">
        <v>0</v>
      </c>
      <c r="K413">
        <v>0</v>
      </c>
      <c r="M413">
        <v>0</v>
      </c>
      <c r="O413">
        <v>0</v>
      </c>
    </row>
    <row r="414" spans="5:15" x14ac:dyDescent="0.3">
      <c r="E414">
        <v>0</v>
      </c>
      <c r="G414">
        <v>0</v>
      </c>
      <c r="I414">
        <v>0</v>
      </c>
      <c r="K414">
        <v>0</v>
      </c>
      <c r="M414">
        <v>0</v>
      </c>
      <c r="O414">
        <v>0</v>
      </c>
    </row>
    <row r="415" spans="5:15" x14ac:dyDescent="0.3">
      <c r="E415">
        <v>0</v>
      </c>
      <c r="G415">
        <v>0</v>
      </c>
      <c r="I415">
        <v>0</v>
      </c>
      <c r="K415">
        <v>0</v>
      </c>
      <c r="M415">
        <v>0</v>
      </c>
      <c r="O415">
        <v>0</v>
      </c>
    </row>
    <row r="416" spans="5:15" x14ac:dyDescent="0.3">
      <c r="E416">
        <v>0</v>
      </c>
      <c r="G416">
        <v>0</v>
      </c>
      <c r="I416">
        <v>0</v>
      </c>
      <c r="K416">
        <v>0</v>
      </c>
      <c r="M416">
        <v>0</v>
      </c>
      <c r="O416">
        <v>0</v>
      </c>
    </row>
    <row r="417" spans="5:15" x14ac:dyDescent="0.3">
      <c r="E417">
        <v>0</v>
      </c>
      <c r="G417">
        <v>0</v>
      </c>
      <c r="I417">
        <v>0</v>
      </c>
      <c r="K417">
        <v>0</v>
      </c>
      <c r="M417">
        <v>0</v>
      </c>
      <c r="O417">
        <v>0</v>
      </c>
    </row>
    <row r="418" spans="5:15" x14ac:dyDescent="0.3">
      <c r="E418">
        <v>0</v>
      </c>
      <c r="G418">
        <v>0</v>
      </c>
      <c r="I418">
        <v>0</v>
      </c>
      <c r="K418">
        <v>0</v>
      </c>
      <c r="M418">
        <v>0</v>
      </c>
      <c r="O418">
        <v>0</v>
      </c>
    </row>
    <row r="419" spans="5:15" x14ac:dyDescent="0.3">
      <c r="E419">
        <v>0</v>
      </c>
      <c r="G419">
        <v>0</v>
      </c>
      <c r="I419">
        <v>0</v>
      </c>
      <c r="K419">
        <v>0</v>
      </c>
      <c r="M419">
        <v>0</v>
      </c>
      <c r="O419">
        <v>0</v>
      </c>
    </row>
    <row r="420" spans="5:15" x14ac:dyDescent="0.3">
      <c r="E420">
        <v>0</v>
      </c>
      <c r="G420">
        <v>0</v>
      </c>
      <c r="I420">
        <v>0</v>
      </c>
      <c r="K420">
        <v>0</v>
      </c>
      <c r="M420">
        <v>0</v>
      </c>
      <c r="O420">
        <v>0</v>
      </c>
    </row>
    <row r="421" spans="5:15" x14ac:dyDescent="0.3">
      <c r="E421">
        <v>0</v>
      </c>
      <c r="G421">
        <v>0</v>
      </c>
      <c r="I421">
        <v>0</v>
      </c>
      <c r="K421">
        <v>0</v>
      </c>
      <c r="M421">
        <v>0</v>
      </c>
      <c r="O421">
        <v>0</v>
      </c>
    </row>
    <row r="422" spans="5:15" x14ac:dyDescent="0.3">
      <c r="E422">
        <v>0</v>
      </c>
      <c r="G422">
        <v>0</v>
      </c>
      <c r="I422">
        <v>0</v>
      </c>
      <c r="K422">
        <v>0</v>
      </c>
      <c r="M422">
        <v>0</v>
      </c>
      <c r="O422">
        <v>0</v>
      </c>
    </row>
    <row r="423" spans="5:15" x14ac:dyDescent="0.3">
      <c r="E423">
        <v>0</v>
      </c>
      <c r="G423">
        <v>0</v>
      </c>
      <c r="I423">
        <v>0</v>
      </c>
      <c r="K423">
        <v>0</v>
      </c>
      <c r="M423">
        <v>0</v>
      </c>
      <c r="O423">
        <v>0</v>
      </c>
    </row>
    <row r="424" spans="5:15" x14ac:dyDescent="0.3">
      <c r="E424">
        <v>0</v>
      </c>
      <c r="G424">
        <v>0</v>
      </c>
      <c r="I424">
        <v>0</v>
      </c>
      <c r="K424">
        <v>0</v>
      </c>
      <c r="M424">
        <v>0</v>
      </c>
      <c r="O424">
        <v>0</v>
      </c>
    </row>
    <row r="425" spans="5:15" x14ac:dyDescent="0.3">
      <c r="E425">
        <v>0</v>
      </c>
      <c r="G425">
        <v>0</v>
      </c>
      <c r="I425">
        <v>0</v>
      </c>
      <c r="K425">
        <v>0</v>
      </c>
      <c r="M425">
        <v>0</v>
      </c>
      <c r="O425">
        <v>0</v>
      </c>
    </row>
    <row r="426" spans="5:15" x14ac:dyDescent="0.3">
      <c r="E426">
        <v>0</v>
      </c>
      <c r="G426">
        <v>0</v>
      </c>
      <c r="I426">
        <v>0</v>
      </c>
      <c r="K426">
        <v>0</v>
      </c>
      <c r="M426">
        <v>0</v>
      </c>
      <c r="O426">
        <v>0</v>
      </c>
    </row>
    <row r="427" spans="5:15" x14ac:dyDescent="0.3">
      <c r="E427">
        <v>0</v>
      </c>
      <c r="G427">
        <v>0</v>
      </c>
      <c r="I427">
        <v>0</v>
      </c>
      <c r="K427">
        <v>0</v>
      </c>
      <c r="M427">
        <v>0</v>
      </c>
      <c r="O427">
        <v>0</v>
      </c>
    </row>
    <row r="428" spans="5:15" x14ac:dyDescent="0.3">
      <c r="E428">
        <v>0</v>
      </c>
      <c r="G428">
        <v>0</v>
      </c>
      <c r="I428">
        <v>0</v>
      </c>
      <c r="K428">
        <v>0</v>
      </c>
      <c r="M428">
        <v>0</v>
      </c>
      <c r="O428">
        <v>0</v>
      </c>
    </row>
    <row r="429" spans="5:15" x14ac:dyDescent="0.3">
      <c r="E429">
        <v>0</v>
      </c>
      <c r="G429">
        <v>0</v>
      </c>
      <c r="I429">
        <v>0</v>
      </c>
      <c r="K429">
        <v>0</v>
      </c>
      <c r="M429">
        <v>0</v>
      </c>
      <c r="O429">
        <v>0</v>
      </c>
    </row>
    <row r="430" spans="5:15" x14ac:dyDescent="0.3">
      <c r="E430">
        <v>0</v>
      </c>
      <c r="G430">
        <v>0</v>
      </c>
      <c r="I430">
        <v>0</v>
      </c>
      <c r="K430">
        <v>0</v>
      </c>
      <c r="M430">
        <v>0</v>
      </c>
      <c r="O430">
        <v>0</v>
      </c>
    </row>
    <row r="431" spans="5:15" x14ac:dyDescent="0.3">
      <c r="E431">
        <v>0</v>
      </c>
      <c r="G431">
        <v>0</v>
      </c>
      <c r="I431">
        <v>0</v>
      </c>
      <c r="K431">
        <v>0</v>
      </c>
      <c r="M431">
        <v>0</v>
      </c>
      <c r="O431">
        <v>0</v>
      </c>
    </row>
    <row r="432" spans="5:15" x14ac:dyDescent="0.3">
      <c r="E432">
        <v>0</v>
      </c>
      <c r="G432">
        <v>0</v>
      </c>
      <c r="I432">
        <v>0</v>
      </c>
      <c r="K432">
        <v>0</v>
      </c>
      <c r="M432">
        <v>0</v>
      </c>
      <c r="O432">
        <v>0</v>
      </c>
    </row>
    <row r="433" spans="5:15" x14ac:dyDescent="0.3">
      <c r="E433">
        <v>0</v>
      </c>
      <c r="G433">
        <v>0</v>
      </c>
      <c r="I433">
        <v>0</v>
      </c>
      <c r="K433">
        <v>0</v>
      </c>
      <c r="M433">
        <v>0</v>
      </c>
      <c r="O433">
        <v>0</v>
      </c>
    </row>
    <row r="434" spans="5:15" x14ac:dyDescent="0.3">
      <c r="E434">
        <v>0</v>
      </c>
      <c r="G434">
        <v>0</v>
      </c>
      <c r="I434">
        <v>0</v>
      </c>
      <c r="K434">
        <v>0</v>
      </c>
      <c r="M434">
        <v>0</v>
      </c>
      <c r="O434">
        <v>0</v>
      </c>
    </row>
    <row r="435" spans="5:15" x14ac:dyDescent="0.3">
      <c r="E435">
        <v>0</v>
      </c>
      <c r="G435">
        <v>0</v>
      </c>
      <c r="I435">
        <v>0</v>
      </c>
      <c r="K435">
        <v>0</v>
      </c>
      <c r="M435">
        <v>0</v>
      </c>
      <c r="O435">
        <v>0</v>
      </c>
    </row>
    <row r="436" spans="5:15" x14ac:dyDescent="0.3">
      <c r="E436">
        <v>0</v>
      </c>
      <c r="G436">
        <v>0</v>
      </c>
      <c r="I436">
        <v>0</v>
      </c>
      <c r="K436">
        <v>0</v>
      </c>
      <c r="M436">
        <v>0</v>
      </c>
      <c r="O436">
        <v>0</v>
      </c>
    </row>
    <row r="437" spans="5:15" x14ac:dyDescent="0.3">
      <c r="E437">
        <v>0</v>
      </c>
      <c r="G437">
        <v>0</v>
      </c>
      <c r="I437">
        <v>0</v>
      </c>
      <c r="K437">
        <v>0</v>
      </c>
      <c r="M437">
        <v>0</v>
      </c>
      <c r="O437">
        <v>0</v>
      </c>
    </row>
    <row r="438" spans="5:15" x14ac:dyDescent="0.3">
      <c r="E438">
        <v>0</v>
      </c>
      <c r="G438">
        <v>0</v>
      </c>
      <c r="I438">
        <v>0</v>
      </c>
      <c r="K438">
        <v>0</v>
      </c>
      <c r="M438">
        <v>0</v>
      </c>
      <c r="O438">
        <v>0</v>
      </c>
    </row>
    <row r="439" spans="5:15" x14ac:dyDescent="0.3">
      <c r="E439">
        <v>0</v>
      </c>
      <c r="G439">
        <v>0</v>
      </c>
      <c r="I439">
        <v>0</v>
      </c>
      <c r="K439">
        <v>0</v>
      </c>
      <c r="M439">
        <v>0</v>
      </c>
      <c r="O439">
        <v>0</v>
      </c>
    </row>
    <row r="440" spans="5:15" x14ac:dyDescent="0.3">
      <c r="E440">
        <v>0</v>
      </c>
      <c r="G440">
        <v>0</v>
      </c>
      <c r="I440">
        <v>0</v>
      </c>
      <c r="K440">
        <v>0</v>
      </c>
      <c r="M440">
        <v>0</v>
      </c>
      <c r="O440">
        <v>0</v>
      </c>
    </row>
    <row r="441" spans="5:15" x14ac:dyDescent="0.3">
      <c r="E441">
        <v>0</v>
      </c>
      <c r="G441">
        <v>0</v>
      </c>
      <c r="I441">
        <v>0</v>
      </c>
      <c r="K441">
        <v>0</v>
      </c>
      <c r="M441">
        <v>0</v>
      </c>
      <c r="O441">
        <v>0</v>
      </c>
    </row>
    <row r="442" spans="5:15" x14ac:dyDescent="0.3">
      <c r="E442">
        <v>0</v>
      </c>
      <c r="G442">
        <v>0</v>
      </c>
      <c r="I442">
        <v>0</v>
      </c>
      <c r="K442">
        <v>0</v>
      </c>
      <c r="M442">
        <v>0</v>
      </c>
      <c r="O442">
        <v>0</v>
      </c>
    </row>
    <row r="443" spans="5:15" x14ac:dyDescent="0.3">
      <c r="E443">
        <v>0</v>
      </c>
      <c r="G443">
        <v>0</v>
      </c>
      <c r="I443">
        <v>0</v>
      </c>
      <c r="K443">
        <v>0</v>
      </c>
      <c r="M443">
        <v>0</v>
      </c>
      <c r="O443">
        <v>0</v>
      </c>
    </row>
    <row r="444" spans="5:15" x14ac:dyDescent="0.3">
      <c r="E444">
        <v>0</v>
      </c>
      <c r="G444">
        <v>0</v>
      </c>
      <c r="I444">
        <v>0</v>
      </c>
      <c r="K444">
        <v>0</v>
      </c>
      <c r="M444">
        <v>0</v>
      </c>
      <c r="O444">
        <v>0</v>
      </c>
    </row>
    <row r="445" spans="5:15" x14ac:dyDescent="0.3">
      <c r="E445">
        <v>0</v>
      </c>
      <c r="G445">
        <v>0</v>
      </c>
      <c r="I445">
        <v>0</v>
      </c>
      <c r="K445">
        <v>0</v>
      </c>
      <c r="M445">
        <v>0</v>
      </c>
      <c r="O445">
        <v>0</v>
      </c>
    </row>
    <row r="446" spans="5:15" x14ac:dyDescent="0.3">
      <c r="E446">
        <v>0</v>
      </c>
      <c r="G446">
        <v>0</v>
      </c>
      <c r="I446">
        <v>0</v>
      </c>
      <c r="K446">
        <v>0</v>
      </c>
      <c r="M446">
        <v>0</v>
      </c>
      <c r="O446">
        <v>0</v>
      </c>
    </row>
    <row r="447" spans="5:15" x14ac:dyDescent="0.3">
      <c r="E447">
        <v>0</v>
      </c>
      <c r="G447">
        <v>0</v>
      </c>
      <c r="I447">
        <v>0</v>
      </c>
      <c r="K447">
        <v>0</v>
      </c>
      <c r="M447">
        <v>0</v>
      </c>
      <c r="O447">
        <v>0</v>
      </c>
    </row>
    <row r="448" spans="5:15" x14ac:dyDescent="0.3">
      <c r="E448">
        <v>0</v>
      </c>
      <c r="G448">
        <v>0</v>
      </c>
      <c r="I448">
        <v>0</v>
      </c>
      <c r="K448">
        <v>0</v>
      </c>
      <c r="M448">
        <v>0</v>
      </c>
      <c r="O448">
        <v>0</v>
      </c>
    </row>
    <row r="449" spans="5:15" x14ac:dyDescent="0.3">
      <c r="E449">
        <v>0</v>
      </c>
      <c r="G449">
        <v>0</v>
      </c>
      <c r="I449">
        <v>0</v>
      </c>
      <c r="K449">
        <v>0</v>
      </c>
      <c r="M449">
        <v>0</v>
      </c>
      <c r="O449">
        <v>0</v>
      </c>
    </row>
    <row r="450" spans="5:15" x14ac:dyDescent="0.3">
      <c r="E450">
        <v>0</v>
      </c>
      <c r="G450">
        <v>0</v>
      </c>
      <c r="I450">
        <v>0</v>
      </c>
      <c r="K450">
        <v>0</v>
      </c>
      <c r="M450">
        <v>0</v>
      </c>
      <c r="O450">
        <v>0</v>
      </c>
    </row>
    <row r="451" spans="5:15" x14ac:dyDescent="0.3">
      <c r="E451">
        <v>0</v>
      </c>
      <c r="G451">
        <v>0</v>
      </c>
      <c r="I451">
        <v>0</v>
      </c>
      <c r="K451">
        <v>0</v>
      </c>
      <c r="M451">
        <v>0</v>
      </c>
      <c r="O451">
        <v>0</v>
      </c>
    </row>
    <row r="452" spans="5:15" x14ac:dyDescent="0.3">
      <c r="E452">
        <v>0</v>
      </c>
      <c r="G452">
        <v>0</v>
      </c>
      <c r="I452">
        <v>0</v>
      </c>
      <c r="K452">
        <v>0</v>
      </c>
      <c r="M452">
        <v>0</v>
      </c>
      <c r="O452">
        <v>0</v>
      </c>
    </row>
    <row r="453" spans="5:15" x14ac:dyDescent="0.3">
      <c r="E453">
        <v>0</v>
      </c>
      <c r="G453">
        <v>0</v>
      </c>
      <c r="I453">
        <v>0</v>
      </c>
      <c r="K453">
        <v>0</v>
      </c>
      <c r="M453">
        <v>0</v>
      </c>
      <c r="O453">
        <v>0</v>
      </c>
    </row>
    <row r="454" spans="5:15" x14ac:dyDescent="0.3">
      <c r="E454">
        <v>0</v>
      </c>
      <c r="G454">
        <v>0</v>
      </c>
      <c r="I454">
        <v>0</v>
      </c>
      <c r="K454">
        <v>0</v>
      </c>
      <c r="M454">
        <v>0</v>
      </c>
      <c r="O454">
        <v>0</v>
      </c>
    </row>
    <row r="455" spans="5:15" x14ac:dyDescent="0.3">
      <c r="E455">
        <v>0</v>
      </c>
      <c r="G455">
        <v>0</v>
      </c>
      <c r="I455">
        <v>0</v>
      </c>
      <c r="K455">
        <v>0</v>
      </c>
      <c r="M455">
        <v>0</v>
      </c>
      <c r="O455">
        <v>0</v>
      </c>
    </row>
    <row r="456" spans="5:15" x14ac:dyDescent="0.3">
      <c r="E456">
        <v>0</v>
      </c>
      <c r="G456">
        <v>0</v>
      </c>
      <c r="I456">
        <v>0</v>
      </c>
      <c r="K456">
        <v>0</v>
      </c>
      <c r="M456">
        <v>0</v>
      </c>
      <c r="O456">
        <v>0</v>
      </c>
    </row>
    <row r="457" spans="5:15" x14ac:dyDescent="0.3">
      <c r="E457">
        <v>0</v>
      </c>
      <c r="G457">
        <v>0</v>
      </c>
      <c r="I457">
        <v>0</v>
      </c>
      <c r="K457">
        <v>0</v>
      </c>
      <c r="M457">
        <v>0</v>
      </c>
      <c r="O457">
        <v>0</v>
      </c>
    </row>
    <row r="458" spans="5:15" x14ac:dyDescent="0.3">
      <c r="E458">
        <v>0</v>
      </c>
      <c r="G458">
        <v>0</v>
      </c>
      <c r="I458">
        <v>0</v>
      </c>
      <c r="K458">
        <v>0</v>
      </c>
      <c r="M458">
        <v>0</v>
      </c>
      <c r="O458">
        <v>0</v>
      </c>
    </row>
    <row r="459" spans="5:15" x14ac:dyDescent="0.3">
      <c r="E459">
        <v>0</v>
      </c>
      <c r="G459">
        <v>0</v>
      </c>
      <c r="I459">
        <v>0</v>
      </c>
      <c r="K459">
        <v>0</v>
      </c>
      <c r="M459">
        <v>0</v>
      </c>
      <c r="O459">
        <v>0</v>
      </c>
    </row>
    <row r="460" spans="5:15" x14ac:dyDescent="0.3">
      <c r="E460">
        <v>0</v>
      </c>
      <c r="G460">
        <v>0</v>
      </c>
      <c r="I460">
        <v>0</v>
      </c>
      <c r="K460">
        <v>0</v>
      </c>
      <c r="M460">
        <v>0</v>
      </c>
      <c r="O460">
        <v>0</v>
      </c>
    </row>
    <row r="461" spans="5:15" x14ac:dyDescent="0.3">
      <c r="E461">
        <v>0</v>
      </c>
      <c r="G461">
        <v>0</v>
      </c>
      <c r="I461">
        <v>0</v>
      </c>
      <c r="K461">
        <v>0</v>
      </c>
      <c r="M461">
        <v>0</v>
      </c>
      <c r="O461">
        <v>0</v>
      </c>
    </row>
    <row r="462" spans="5:15" x14ac:dyDescent="0.3">
      <c r="E462">
        <v>0</v>
      </c>
      <c r="G462">
        <v>0</v>
      </c>
      <c r="I462">
        <v>0</v>
      </c>
      <c r="K462">
        <v>0</v>
      </c>
      <c r="M462">
        <v>0</v>
      </c>
      <c r="O462">
        <v>0</v>
      </c>
    </row>
    <row r="463" spans="5:15" x14ac:dyDescent="0.3">
      <c r="E463">
        <v>0</v>
      </c>
      <c r="G463">
        <v>0</v>
      </c>
      <c r="I463">
        <v>0</v>
      </c>
      <c r="K463">
        <v>0</v>
      </c>
      <c r="M463">
        <v>0</v>
      </c>
      <c r="O463">
        <v>0</v>
      </c>
    </row>
    <row r="464" spans="5:15" x14ac:dyDescent="0.3">
      <c r="E464">
        <v>0</v>
      </c>
      <c r="G464">
        <v>0</v>
      </c>
      <c r="I464">
        <v>0</v>
      </c>
      <c r="K464">
        <v>0</v>
      </c>
      <c r="M464">
        <v>0</v>
      </c>
      <c r="O464">
        <v>0</v>
      </c>
    </row>
    <row r="465" spans="5:15" x14ac:dyDescent="0.3">
      <c r="E465">
        <v>0</v>
      </c>
      <c r="G465">
        <v>0</v>
      </c>
      <c r="I465">
        <v>0</v>
      </c>
      <c r="K465">
        <v>0</v>
      </c>
      <c r="M465">
        <v>0</v>
      </c>
      <c r="O465">
        <v>0</v>
      </c>
    </row>
    <row r="466" spans="5:15" x14ac:dyDescent="0.3">
      <c r="E466">
        <v>0</v>
      </c>
      <c r="G466">
        <v>0</v>
      </c>
      <c r="I466">
        <v>0</v>
      </c>
      <c r="K466">
        <v>0</v>
      </c>
      <c r="M466">
        <v>0</v>
      </c>
      <c r="O466">
        <v>0</v>
      </c>
    </row>
    <row r="467" spans="5:15" x14ac:dyDescent="0.3">
      <c r="E467">
        <v>0</v>
      </c>
      <c r="G467">
        <v>0</v>
      </c>
      <c r="I467">
        <v>0</v>
      </c>
      <c r="K467">
        <v>0</v>
      </c>
      <c r="M467">
        <v>0</v>
      </c>
      <c r="O467">
        <v>0</v>
      </c>
    </row>
    <row r="468" spans="5:15" x14ac:dyDescent="0.3">
      <c r="E468">
        <v>0</v>
      </c>
      <c r="G468">
        <v>0</v>
      </c>
      <c r="I468">
        <v>0</v>
      </c>
      <c r="K468">
        <v>0</v>
      </c>
      <c r="M468">
        <v>0</v>
      </c>
      <c r="O468">
        <v>0</v>
      </c>
    </row>
    <row r="469" spans="5:15" x14ac:dyDescent="0.3">
      <c r="E469">
        <v>0</v>
      </c>
      <c r="G469">
        <v>0</v>
      </c>
      <c r="I469">
        <v>0</v>
      </c>
      <c r="K469">
        <v>0</v>
      </c>
      <c r="M469">
        <v>0</v>
      </c>
      <c r="O469">
        <v>0</v>
      </c>
    </row>
    <row r="470" spans="5:15" x14ac:dyDescent="0.3">
      <c r="E470">
        <v>0</v>
      </c>
      <c r="G470">
        <v>0</v>
      </c>
      <c r="I470">
        <v>0</v>
      </c>
      <c r="K470">
        <v>0</v>
      </c>
      <c r="M470">
        <v>0</v>
      </c>
      <c r="O470">
        <v>0</v>
      </c>
    </row>
    <row r="471" spans="5:15" x14ac:dyDescent="0.3">
      <c r="E471">
        <v>0</v>
      </c>
      <c r="G471">
        <v>0</v>
      </c>
      <c r="I471">
        <v>0</v>
      </c>
      <c r="K471">
        <v>0</v>
      </c>
      <c r="M471">
        <v>0</v>
      </c>
      <c r="O471">
        <v>0</v>
      </c>
    </row>
    <row r="472" spans="5:15" x14ac:dyDescent="0.3">
      <c r="E472">
        <v>0</v>
      </c>
      <c r="G472">
        <v>0</v>
      </c>
      <c r="I472">
        <v>0</v>
      </c>
      <c r="K472">
        <v>0</v>
      </c>
      <c r="M472">
        <v>0</v>
      </c>
      <c r="O472">
        <v>0</v>
      </c>
    </row>
    <row r="473" spans="5:15" x14ac:dyDescent="0.3">
      <c r="E473">
        <v>0</v>
      </c>
      <c r="G473">
        <v>0</v>
      </c>
      <c r="I473">
        <v>0</v>
      </c>
      <c r="K473">
        <v>0</v>
      </c>
      <c r="M473">
        <v>0</v>
      </c>
      <c r="O473">
        <v>0</v>
      </c>
    </row>
    <row r="474" spans="5:15" x14ac:dyDescent="0.3">
      <c r="E474">
        <v>0</v>
      </c>
      <c r="G474">
        <v>0</v>
      </c>
      <c r="I474">
        <v>0</v>
      </c>
      <c r="K474">
        <v>0</v>
      </c>
      <c r="M474">
        <v>0</v>
      </c>
      <c r="O474">
        <v>0</v>
      </c>
    </row>
    <row r="475" spans="5:15" x14ac:dyDescent="0.3">
      <c r="E475">
        <v>0</v>
      </c>
      <c r="G475">
        <v>0</v>
      </c>
      <c r="I475">
        <v>0</v>
      </c>
      <c r="K475">
        <v>0</v>
      </c>
      <c r="M475">
        <v>0</v>
      </c>
      <c r="O475">
        <v>0</v>
      </c>
    </row>
    <row r="476" spans="5:15" x14ac:dyDescent="0.3">
      <c r="E476">
        <v>0</v>
      </c>
      <c r="G476">
        <v>0</v>
      </c>
      <c r="I476">
        <v>0</v>
      </c>
      <c r="K476">
        <v>0</v>
      </c>
      <c r="M476">
        <v>0</v>
      </c>
      <c r="O476">
        <v>0</v>
      </c>
    </row>
    <row r="477" spans="5:15" x14ac:dyDescent="0.3">
      <c r="E477">
        <v>0</v>
      </c>
      <c r="G477">
        <v>0</v>
      </c>
      <c r="I477">
        <v>0</v>
      </c>
      <c r="K477">
        <v>0</v>
      </c>
      <c r="M477">
        <v>0</v>
      </c>
      <c r="O477">
        <v>0</v>
      </c>
    </row>
    <row r="478" spans="5:15" x14ac:dyDescent="0.3">
      <c r="E478">
        <v>0</v>
      </c>
      <c r="G478">
        <v>0</v>
      </c>
      <c r="I478">
        <v>0</v>
      </c>
      <c r="K478">
        <v>0</v>
      </c>
      <c r="M478">
        <v>0</v>
      </c>
      <c r="O478">
        <v>0</v>
      </c>
    </row>
    <row r="479" spans="5:15" x14ac:dyDescent="0.3">
      <c r="E479">
        <v>0</v>
      </c>
      <c r="G479">
        <v>0</v>
      </c>
      <c r="I479">
        <v>0</v>
      </c>
      <c r="K479">
        <v>0</v>
      </c>
      <c r="M479">
        <v>0</v>
      </c>
      <c r="O479">
        <v>0</v>
      </c>
    </row>
    <row r="480" spans="5:15" x14ac:dyDescent="0.3">
      <c r="E480">
        <v>0</v>
      </c>
      <c r="G480">
        <v>0</v>
      </c>
      <c r="I480">
        <v>0</v>
      </c>
      <c r="K480">
        <v>0</v>
      </c>
      <c r="M480">
        <v>0</v>
      </c>
      <c r="O480">
        <v>0</v>
      </c>
    </row>
    <row r="481" spans="5:15" x14ac:dyDescent="0.3">
      <c r="E481">
        <v>0</v>
      </c>
      <c r="G481">
        <v>0</v>
      </c>
      <c r="I481">
        <v>0</v>
      </c>
      <c r="K481">
        <v>0</v>
      </c>
      <c r="M481">
        <v>0</v>
      </c>
      <c r="O481">
        <v>0</v>
      </c>
    </row>
    <row r="482" spans="5:15" x14ac:dyDescent="0.3">
      <c r="E482">
        <v>0</v>
      </c>
      <c r="G482">
        <v>0</v>
      </c>
      <c r="I482">
        <v>0</v>
      </c>
      <c r="K482">
        <v>0</v>
      </c>
      <c r="M482">
        <v>0</v>
      </c>
      <c r="O482">
        <v>0</v>
      </c>
    </row>
    <row r="483" spans="5:15" x14ac:dyDescent="0.3">
      <c r="E483">
        <v>0</v>
      </c>
      <c r="G483">
        <v>0</v>
      </c>
      <c r="I483">
        <v>0</v>
      </c>
      <c r="K483">
        <v>0</v>
      </c>
      <c r="M483">
        <v>0</v>
      </c>
      <c r="O483">
        <v>0</v>
      </c>
    </row>
    <row r="484" spans="5:15" x14ac:dyDescent="0.3">
      <c r="E484">
        <v>0</v>
      </c>
      <c r="G484">
        <v>0</v>
      </c>
      <c r="I484">
        <v>0</v>
      </c>
      <c r="K484">
        <v>0</v>
      </c>
      <c r="M484">
        <v>0</v>
      </c>
      <c r="O484">
        <v>0</v>
      </c>
    </row>
    <row r="485" spans="5:15" x14ac:dyDescent="0.3">
      <c r="E485">
        <v>0</v>
      </c>
      <c r="G485">
        <v>0</v>
      </c>
      <c r="I485">
        <v>0</v>
      </c>
      <c r="K485">
        <v>0</v>
      </c>
      <c r="M485">
        <v>0</v>
      </c>
      <c r="O485">
        <v>0</v>
      </c>
    </row>
    <row r="486" spans="5:15" x14ac:dyDescent="0.3">
      <c r="E486">
        <v>0</v>
      </c>
      <c r="G486">
        <v>0</v>
      </c>
      <c r="I486">
        <v>0</v>
      </c>
      <c r="K486">
        <v>0</v>
      </c>
      <c r="M486">
        <v>0</v>
      </c>
      <c r="O486">
        <v>0</v>
      </c>
    </row>
    <row r="487" spans="5:15" x14ac:dyDescent="0.3">
      <c r="E487">
        <v>0</v>
      </c>
      <c r="G487">
        <v>0</v>
      </c>
      <c r="I487">
        <v>0</v>
      </c>
      <c r="K487">
        <v>0</v>
      </c>
      <c r="M487">
        <v>0</v>
      </c>
      <c r="O487">
        <v>0</v>
      </c>
    </row>
    <row r="488" spans="5:15" x14ac:dyDescent="0.3">
      <c r="E488">
        <v>0</v>
      </c>
      <c r="G488">
        <v>0</v>
      </c>
      <c r="I488">
        <v>0</v>
      </c>
      <c r="K488">
        <v>0</v>
      </c>
      <c r="M488">
        <v>0</v>
      </c>
      <c r="O488">
        <v>0</v>
      </c>
    </row>
    <row r="489" spans="5:15" x14ac:dyDescent="0.3">
      <c r="E489">
        <v>0</v>
      </c>
      <c r="G489">
        <v>0</v>
      </c>
      <c r="I489">
        <v>0</v>
      </c>
      <c r="K489">
        <v>0</v>
      </c>
      <c r="M489">
        <v>0</v>
      </c>
      <c r="O489">
        <v>0</v>
      </c>
    </row>
    <row r="490" spans="5:15" x14ac:dyDescent="0.3">
      <c r="E490">
        <v>0</v>
      </c>
      <c r="G490">
        <v>0</v>
      </c>
      <c r="I490">
        <v>0</v>
      </c>
      <c r="K490">
        <v>0</v>
      </c>
      <c r="M490">
        <v>0</v>
      </c>
      <c r="O490">
        <v>0</v>
      </c>
    </row>
    <row r="491" spans="5:15" x14ac:dyDescent="0.3">
      <c r="E491">
        <v>0</v>
      </c>
      <c r="G491">
        <v>0</v>
      </c>
      <c r="I491">
        <v>0</v>
      </c>
      <c r="K491">
        <v>0</v>
      </c>
      <c r="M491">
        <v>0</v>
      </c>
      <c r="O491">
        <v>0</v>
      </c>
    </row>
    <row r="492" spans="5:15" x14ac:dyDescent="0.3">
      <c r="E492">
        <v>0</v>
      </c>
      <c r="G492">
        <v>0</v>
      </c>
      <c r="I492">
        <v>0</v>
      </c>
      <c r="K492">
        <v>0</v>
      </c>
      <c r="M492">
        <v>0</v>
      </c>
      <c r="O492">
        <v>0</v>
      </c>
    </row>
    <row r="493" spans="5:15" x14ac:dyDescent="0.3">
      <c r="E493">
        <v>0</v>
      </c>
      <c r="G493">
        <v>0</v>
      </c>
      <c r="I493">
        <v>0</v>
      </c>
      <c r="K493">
        <v>0</v>
      </c>
      <c r="M493">
        <v>0</v>
      </c>
      <c r="O493">
        <v>0</v>
      </c>
    </row>
    <row r="494" spans="5:15" x14ac:dyDescent="0.3">
      <c r="E494">
        <v>0</v>
      </c>
      <c r="G494">
        <v>0</v>
      </c>
      <c r="I494">
        <v>0</v>
      </c>
      <c r="K494">
        <v>0</v>
      </c>
      <c r="M494">
        <v>0</v>
      </c>
      <c r="O494">
        <v>0</v>
      </c>
    </row>
    <row r="495" spans="5:15" x14ac:dyDescent="0.3">
      <c r="E495">
        <v>0</v>
      </c>
      <c r="G495">
        <v>0</v>
      </c>
      <c r="I495">
        <v>0</v>
      </c>
      <c r="K495">
        <v>0</v>
      </c>
      <c r="M495">
        <v>0</v>
      </c>
      <c r="O495">
        <v>0</v>
      </c>
    </row>
    <row r="496" spans="5:15" x14ac:dyDescent="0.3">
      <c r="E496">
        <v>0</v>
      </c>
      <c r="G496">
        <v>0</v>
      </c>
      <c r="I496">
        <v>0</v>
      </c>
      <c r="K496">
        <v>0</v>
      </c>
      <c r="M496">
        <v>0</v>
      </c>
      <c r="O496">
        <v>0</v>
      </c>
    </row>
    <row r="497" spans="5:15" x14ac:dyDescent="0.3">
      <c r="E497">
        <v>0</v>
      </c>
      <c r="G497">
        <v>0</v>
      </c>
      <c r="I497">
        <v>0</v>
      </c>
      <c r="K497">
        <v>0</v>
      </c>
      <c r="M497">
        <v>0</v>
      </c>
      <c r="O497">
        <v>0</v>
      </c>
    </row>
    <row r="498" spans="5:15" x14ac:dyDescent="0.3">
      <c r="E498">
        <v>0</v>
      </c>
      <c r="G498">
        <v>0</v>
      </c>
      <c r="I498">
        <v>0</v>
      </c>
      <c r="K498">
        <v>0</v>
      </c>
      <c r="M498">
        <v>0</v>
      </c>
      <c r="O498">
        <v>0</v>
      </c>
    </row>
    <row r="499" spans="5:15" x14ac:dyDescent="0.3">
      <c r="E499">
        <v>0</v>
      </c>
      <c r="G499">
        <v>0</v>
      </c>
      <c r="I499">
        <v>0</v>
      </c>
      <c r="K499">
        <v>0</v>
      </c>
      <c r="M499">
        <v>0</v>
      </c>
      <c r="O499">
        <v>0</v>
      </c>
    </row>
    <row r="500" spans="5:15" x14ac:dyDescent="0.3">
      <c r="E500">
        <v>0</v>
      </c>
      <c r="G500">
        <v>0</v>
      </c>
      <c r="I500">
        <v>0</v>
      </c>
      <c r="K500">
        <v>0</v>
      </c>
      <c r="M500">
        <v>0</v>
      </c>
      <c r="O500">
        <v>0</v>
      </c>
    </row>
    <row r="501" spans="5:15" x14ac:dyDescent="0.3">
      <c r="E501">
        <v>0</v>
      </c>
      <c r="G501">
        <v>0</v>
      </c>
      <c r="I501">
        <v>0</v>
      </c>
      <c r="K501">
        <v>0</v>
      </c>
      <c r="M501">
        <v>0</v>
      </c>
      <c r="O501">
        <v>0</v>
      </c>
    </row>
    <row r="502" spans="5:15" x14ac:dyDescent="0.3">
      <c r="E502">
        <v>0</v>
      </c>
      <c r="G502">
        <v>0</v>
      </c>
      <c r="I502">
        <v>0</v>
      </c>
      <c r="K502">
        <v>0</v>
      </c>
      <c r="M502">
        <v>0</v>
      </c>
      <c r="O502">
        <v>0</v>
      </c>
    </row>
    <row r="503" spans="5:15" x14ac:dyDescent="0.3">
      <c r="E503">
        <v>0</v>
      </c>
      <c r="G503">
        <v>0</v>
      </c>
      <c r="I503">
        <v>0</v>
      </c>
      <c r="K503">
        <v>0</v>
      </c>
      <c r="M503">
        <v>0</v>
      </c>
      <c r="O503">
        <v>0</v>
      </c>
    </row>
    <row r="504" spans="5:15" x14ac:dyDescent="0.3">
      <c r="E504">
        <v>0</v>
      </c>
      <c r="G504">
        <v>0</v>
      </c>
      <c r="I504">
        <v>0</v>
      </c>
      <c r="K504">
        <v>0</v>
      </c>
      <c r="M504">
        <v>0</v>
      </c>
      <c r="O504">
        <v>0</v>
      </c>
    </row>
    <row r="505" spans="5:15" x14ac:dyDescent="0.3">
      <c r="E505">
        <v>0</v>
      </c>
      <c r="G505">
        <v>0</v>
      </c>
      <c r="I505">
        <v>0</v>
      </c>
      <c r="K505">
        <v>0</v>
      </c>
      <c r="M505">
        <v>0</v>
      </c>
      <c r="O505">
        <v>0</v>
      </c>
    </row>
    <row r="506" spans="5:15" x14ac:dyDescent="0.3">
      <c r="E506">
        <v>0</v>
      </c>
      <c r="G506">
        <v>0</v>
      </c>
      <c r="I506">
        <v>0</v>
      </c>
      <c r="K506">
        <v>0</v>
      </c>
      <c r="M506">
        <v>0</v>
      </c>
      <c r="O506">
        <v>0</v>
      </c>
    </row>
    <row r="507" spans="5:15" x14ac:dyDescent="0.3">
      <c r="E507">
        <v>0</v>
      </c>
      <c r="G507">
        <v>0</v>
      </c>
      <c r="I507">
        <v>0</v>
      </c>
      <c r="K507">
        <v>0</v>
      </c>
      <c r="M507">
        <v>0</v>
      </c>
      <c r="O507">
        <v>0</v>
      </c>
    </row>
    <row r="508" spans="5:15" x14ac:dyDescent="0.3">
      <c r="E508">
        <v>0</v>
      </c>
      <c r="G508">
        <v>0</v>
      </c>
      <c r="I508">
        <v>0</v>
      </c>
      <c r="K508">
        <v>0</v>
      </c>
      <c r="M508">
        <v>0</v>
      </c>
      <c r="O508">
        <v>0</v>
      </c>
    </row>
    <row r="509" spans="5:15" x14ac:dyDescent="0.3">
      <c r="E509">
        <v>0</v>
      </c>
      <c r="G509">
        <v>0</v>
      </c>
      <c r="I509">
        <v>0</v>
      </c>
      <c r="K509">
        <v>0</v>
      </c>
      <c r="M509">
        <v>0</v>
      </c>
      <c r="O509">
        <v>0</v>
      </c>
    </row>
    <row r="510" spans="5:15" x14ac:dyDescent="0.3">
      <c r="E510">
        <v>0</v>
      </c>
      <c r="G510">
        <v>0</v>
      </c>
      <c r="I510">
        <v>0</v>
      </c>
      <c r="K510">
        <v>0</v>
      </c>
      <c r="M510">
        <v>0</v>
      </c>
      <c r="O510">
        <v>0</v>
      </c>
    </row>
    <row r="511" spans="5:15" x14ac:dyDescent="0.3">
      <c r="E511">
        <v>0</v>
      </c>
      <c r="G511">
        <v>0</v>
      </c>
      <c r="I511">
        <v>0</v>
      </c>
      <c r="K511">
        <v>0</v>
      </c>
      <c r="M511">
        <v>0</v>
      </c>
      <c r="O511">
        <v>0</v>
      </c>
    </row>
    <row r="512" spans="5:15" x14ac:dyDescent="0.3">
      <c r="E512">
        <v>0</v>
      </c>
      <c r="G512">
        <v>0</v>
      </c>
      <c r="I512">
        <v>0</v>
      </c>
      <c r="K512">
        <v>0</v>
      </c>
      <c r="M512">
        <v>0</v>
      </c>
      <c r="O512">
        <v>0</v>
      </c>
    </row>
    <row r="513" spans="5:15" x14ac:dyDescent="0.3">
      <c r="E513">
        <v>0</v>
      </c>
      <c r="G513">
        <v>0</v>
      </c>
      <c r="I513">
        <v>0</v>
      </c>
      <c r="K513">
        <v>0</v>
      </c>
      <c r="M513">
        <v>0</v>
      </c>
      <c r="O513">
        <v>0</v>
      </c>
    </row>
    <row r="514" spans="5:15" x14ac:dyDescent="0.3">
      <c r="E514">
        <v>0</v>
      </c>
      <c r="G514">
        <v>0</v>
      </c>
      <c r="I514">
        <v>0</v>
      </c>
      <c r="K514">
        <v>0</v>
      </c>
      <c r="M514">
        <v>0</v>
      </c>
      <c r="O514">
        <v>0</v>
      </c>
    </row>
    <row r="515" spans="5:15" x14ac:dyDescent="0.3">
      <c r="E515">
        <v>0</v>
      </c>
      <c r="G515">
        <v>0</v>
      </c>
      <c r="I515">
        <v>0</v>
      </c>
      <c r="K515">
        <v>0</v>
      </c>
      <c r="M515">
        <v>0</v>
      </c>
      <c r="O515">
        <v>0</v>
      </c>
    </row>
    <row r="516" spans="5:15" x14ac:dyDescent="0.3">
      <c r="E516">
        <v>0</v>
      </c>
      <c r="G516">
        <v>0</v>
      </c>
      <c r="I516">
        <v>0</v>
      </c>
      <c r="K516">
        <v>0</v>
      </c>
      <c r="M516">
        <v>0</v>
      </c>
      <c r="O516">
        <v>0</v>
      </c>
    </row>
    <row r="517" spans="5:15" x14ac:dyDescent="0.3">
      <c r="E517">
        <v>0</v>
      </c>
      <c r="G517">
        <v>0</v>
      </c>
      <c r="I517">
        <v>0</v>
      </c>
      <c r="K517">
        <v>0</v>
      </c>
      <c r="M517">
        <v>0</v>
      </c>
      <c r="O517">
        <v>0</v>
      </c>
    </row>
    <row r="518" spans="5:15" x14ac:dyDescent="0.3">
      <c r="E518">
        <v>0</v>
      </c>
      <c r="G518">
        <v>0</v>
      </c>
      <c r="I518">
        <v>0</v>
      </c>
      <c r="K518">
        <v>0</v>
      </c>
      <c r="M518">
        <v>0</v>
      </c>
      <c r="O518">
        <v>0</v>
      </c>
    </row>
    <row r="519" spans="5:15" x14ac:dyDescent="0.3">
      <c r="E519">
        <v>0</v>
      </c>
      <c r="G519">
        <v>0</v>
      </c>
      <c r="I519">
        <v>0</v>
      </c>
      <c r="K519">
        <v>0</v>
      </c>
      <c r="M519">
        <v>0</v>
      </c>
      <c r="O519">
        <v>0</v>
      </c>
    </row>
    <row r="520" spans="5:15" x14ac:dyDescent="0.3">
      <c r="E520">
        <v>0</v>
      </c>
      <c r="G520">
        <v>0</v>
      </c>
      <c r="I520">
        <v>0</v>
      </c>
      <c r="K520">
        <v>0</v>
      </c>
      <c r="M520">
        <v>0</v>
      </c>
      <c r="O520">
        <v>0</v>
      </c>
    </row>
    <row r="521" spans="5:15" x14ac:dyDescent="0.3">
      <c r="E521">
        <v>0</v>
      </c>
      <c r="G521">
        <v>0</v>
      </c>
      <c r="I521">
        <v>0</v>
      </c>
      <c r="K521">
        <v>0</v>
      </c>
      <c r="M521">
        <v>0</v>
      </c>
      <c r="O521">
        <v>0</v>
      </c>
    </row>
    <row r="522" spans="5:15" x14ac:dyDescent="0.3">
      <c r="E522">
        <v>0</v>
      </c>
      <c r="G522">
        <v>0</v>
      </c>
      <c r="I522">
        <v>0</v>
      </c>
      <c r="K522">
        <v>0</v>
      </c>
      <c r="M522">
        <v>0</v>
      </c>
      <c r="O522">
        <v>0</v>
      </c>
    </row>
    <row r="523" spans="5:15" x14ac:dyDescent="0.3">
      <c r="E523">
        <v>0</v>
      </c>
      <c r="G523">
        <v>0</v>
      </c>
      <c r="I523">
        <v>0</v>
      </c>
      <c r="K523">
        <v>0</v>
      </c>
      <c r="M523">
        <v>0</v>
      </c>
      <c r="O523">
        <v>0</v>
      </c>
    </row>
    <row r="524" spans="5:15" x14ac:dyDescent="0.3">
      <c r="E524">
        <v>0</v>
      </c>
      <c r="G524">
        <v>0</v>
      </c>
      <c r="I524">
        <v>0</v>
      </c>
      <c r="K524">
        <v>0</v>
      </c>
      <c r="M524">
        <v>0</v>
      </c>
      <c r="O524">
        <v>0</v>
      </c>
    </row>
    <row r="525" spans="5:15" x14ac:dyDescent="0.3">
      <c r="E525">
        <v>0</v>
      </c>
      <c r="G525">
        <v>0</v>
      </c>
      <c r="I525">
        <v>0</v>
      </c>
      <c r="K525">
        <v>0</v>
      </c>
      <c r="M525">
        <v>0</v>
      </c>
      <c r="O525">
        <v>0</v>
      </c>
    </row>
    <row r="526" spans="5:15" x14ac:dyDescent="0.3">
      <c r="E526">
        <v>0</v>
      </c>
      <c r="G526">
        <v>0</v>
      </c>
      <c r="I526">
        <v>0</v>
      </c>
      <c r="K526">
        <v>0</v>
      </c>
      <c r="M526">
        <v>0</v>
      </c>
      <c r="O526">
        <v>0</v>
      </c>
    </row>
    <row r="527" spans="5:15" x14ac:dyDescent="0.3">
      <c r="E527">
        <v>0</v>
      </c>
      <c r="G527">
        <v>0</v>
      </c>
      <c r="I527">
        <v>0</v>
      </c>
      <c r="K527">
        <v>0</v>
      </c>
      <c r="M527">
        <v>0</v>
      </c>
      <c r="O527">
        <v>0</v>
      </c>
    </row>
    <row r="528" spans="5:15" x14ac:dyDescent="0.3">
      <c r="E528">
        <v>0</v>
      </c>
      <c r="G528">
        <v>0</v>
      </c>
      <c r="I528">
        <v>0</v>
      </c>
      <c r="K528">
        <v>0</v>
      </c>
      <c r="M528">
        <v>0</v>
      </c>
      <c r="O528">
        <v>0</v>
      </c>
    </row>
    <row r="529" spans="5:15" x14ac:dyDescent="0.3">
      <c r="E529">
        <v>0</v>
      </c>
      <c r="G529">
        <v>0</v>
      </c>
      <c r="I529">
        <v>0</v>
      </c>
      <c r="K529">
        <v>0</v>
      </c>
      <c r="M529">
        <v>0</v>
      </c>
      <c r="O529">
        <v>0</v>
      </c>
    </row>
    <row r="530" spans="5:15" x14ac:dyDescent="0.3">
      <c r="E530">
        <v>0</v>
      </c>
      <c r="G530">
        <v>0</v>
      </c>
      <c r="I530">
        <v>0</v>
      </c>
      <c r="K530">
        <v>0</v>
      </c>
      <c r="M530">
        <v>0</v>
      </c>
      <c r="O530">
        <v>0</v>
      </c>
    </row>
    <row r="531" spans="5:15" x14ac:dyDescent="0.3">
      <c r="E531">
        <v>0</v>
      </c>
      <c r="G531">
        <v>0</v>
      </c>
      <c r="I531">
        <v>0</v>
      </c>
      <c r="K531">
        <v>0</v>
      </c>
      <c r="M531">
        <v>0</v>
      </c>
      <c r="O531">
        <v>0</v>
      </c>
    </row>
    <row r="532" spans="5:15" x14ac:dyDescent="0.3">
      <c r="E532">
        <v>0</v>
      </c>
      <c r="G532">
        <v>0</v>
      </c>
      <c r="I532">
        <v>0</v>
      </c>
      <c r="K532">
        <v>0</v>
      </c>
      <c r="M532">
        <v>0</v>
      </c>
      <c r="O532">
        <v>0</v>
      </c>
    </row>
    <row r="533" spans="5:15" x14ac:dyDescent="0.3">
      <c r="E533">
        <v>0</v>
      </c>
      <c r="G533">
        <v>0</v>
      </c>
      <c r="I533">
        <v>0</v>
      </c>
      <c r="K533">
        <v>0</v>
      </c>
      <c r="M533">
        <v>0</v>
      </c>
      <c r="O533">
        <v>0</v>
      </c>
    </row>
    <row r="534" spans="5:15" x14ac:dyDescent="0.3">
      <c r="E534">
        <v>0</v>
      </c>
      <c r="G534">
        <v>0</v>
      </c>
      <c r="I534">
        <v>0</v>
      </c>
      <c r="K534">
        <v>0</v>
      </c>
      <c r="M534">
        <v>0</v>
      </c>
      <c r="O534">
        <v>0</v>
      </c>
    </row>
    <row r="535" spans="5:15" x14ac:dyDescent="0.3">
      <c r="E535">
        <v>0</v>
      </c>
      <c r="G535">
        <v>0</v>
      </c>
      <c r="I535">
        <v>0</v>
      </c>
      <c r="K535">
        <v>0</v>
      </c>
      <c r="M535">
        <v>0</v>
      </c>
      <c r="O535">
        <v>0</v>
      </c>
    </row>
    <row r="536" spans="5:15" x14ac:dyDescent="0.3">
      <c r="E536">
        <v>0</v>
      </c>
      <c r="G536">
        <v>0</v>
      </c>
      <c r="I536">
        <v>0</v>
      </c>
      <c r="K536">
        <v>0</v>
      </c>
      <c r="M536">
        <v>0</v>
      </c>
      <c r="O536">
        <v>0</v>
      </c>
    </row>
    <row r="537" spans="5:15" x14ac:dyDescent="0.3">
      <c r="E537">
        <v>0</v>
      </c>
      <c r="G537">
        <v>0</v>
      </c>
      <c r="I537">
        <v>0</v>
      </c>
      <c r="K537">
        <v>0</v>
      </c>
      <c r="M537">
        <v>0</v>
      </c>
      <c r="O537">
        <v>0</v>
      </c>
    </row>
    <row r="538" spans="5:15" x14ac:dyDescent="0.3">
      <c r="E538">
        <v>0</v>
      </c>
      <c r="G538">
        <v>0</v>
      </c>
      <c r="I538">
        <v>0</v>
      </c>
      <c r="K538">
        <v>0</v>
      </c>
      <c r="M538">
        <v>0</v>
      </c>
      <c r="O538">
        <v>0</v>
      </c>
    </row>
    <row r="539" spans="5:15" x14ac:dyDescent="0.3">
      <c r="E539">
        <v>0</v>
      </c>
      <c r="G539">
        <v>0</v>
      </c>
      <c r="I539">
        <v>0</v>
      </c>
      <c r="K539">
        <v>0</v>
      </c>
      <c r="M539">
        <v>0</v>
      </c>
      <c r="O539">
        <v>0</v>
      </c>
    </row>
    <row r="540" spans="5:15" x14ac:dyDescent="0.3">
      <c r="E540">
        <v>0</v>
      </c>
      <c r="G540">
        <v>0</v>
      </c>
      <c r="I540">
        <v>0</v>
      </c>
      <c r="K540">
        <v>0</v>
      </c>
      <c r="M540">
        <v>0</v>
      </c>
      <c r="O540">
        <v>0</v>
      </c>
    </row>
    <row r="541" spans="5:15" x14ac:dyDescent="0.3">
      <c r="E541">
        <v>0</v>
      </c>
      <c r="G541">
        <v>0</v>
      </c>
      <c r="I541">
        <v>0</v>
      </c>
      <c r="K541">
        <v>0</v>
      </c>
      <c r="M541">
        <v>0</v>
      </c>
      <c r="O541">
        <v>0</v>
      </c>
    </row>
    <row r="542" spans="5:15" x14ac:dyDescent="0.3">
      <c r="E542">
        <v>0</v>
      </c>
      <c r="G542">
        <v>0</v>
      </c>
      <c r="I542">
        <v>0</v>
      </c>
      <c r="K542">
        <v>0</v>
      </c>
      <c r="M542">
        <v>0</v>
      </c>
      <c r="O542">
        <v>0</v>
      </c>
    </row>
    <row r="543" spans="5:15" x14ac:dyDescent="0.3">
      <c r="E543">
        <v>0</v>
      </c>
      <c r="G543">
        <v>0</v>
      </c>
      <c r="I543">
        <v>0</v>
      </c>
      <c r="K543">
        <v>0</v>
      </c>
      <c r="M543">
        <v>0</v>
      </c>
      <c r="O543">
        <v>0</v>
      </c>
    </row>
    <row r="544" spans="5:15" x14ac:dyDescent="0.3">
      <c r="E544">
        <v>0</v>
      </c>
      <c r="G544">
        <v>0</v>
      </c>
      <c r="I544">
        <v>0</v>
      </c>
      <c r="K544">
        <v>0</v>
      </c>
      <c r="M544">
        <v>0</v>
      </c>
      <c r="O544">
        <v>0</v>
      </c>
    </row>
    <row r="545" spans="5:15" x14ac:dyDescent="0.3">
      <c r="E545">
        <v>0</v>
      </c>
      <c r="G545">
        <v>0</v>
      </c>
      <c r="I545">
        <v>0</v>
      </c>
      <c r="K545">
        <v>0</v>
      </c>
      <c r="M545">
        <v>0</v>
      </c>
      <c r="O545">
        <v>0</v>
      </c>
    </row>
    <row r="546" spans="5:15" x14ac:dyDescent="0.3">
      <c r="E546">
        <v>0</v>
      </c>
      <c r="G546">
        <v>0</v>
      </c>
      <c r="I546">
        <v>0</v>
      </c>
      <c r="K546">
        <v>0</v>
      </c>
      <c r="M546">
        <v>0</v>
      </c>
      <c r="O546">
        <v>0</v>
      </c>
    </row>
    <row r="547" spans="5:15" x14ac:dyDescent="0.3">
      <c r="E547">
        <v>0</v>
      </c>
      <c r="G547">
        <v>0</v>
      </c>
      <c r="I547">
        <v>0</v>
      </c>
      <c r="K547">
        <v>0</v>
      </c>
      <c r="M547">
        <v>0</v>
      </c>
      <c r="O547">
        <v>0</v>
      </c>
    </row>
    <row r="548" spans="5:15" x14ac:dyDescent="0.3">
      <c r="E548">
        <v>0</v>
      </c>
      <c r="G548">
        <v>0</v>
      </c>
      <c r="I548">
        <v>0</v>
      </c>
      <c r="K548">
        <v>0</v>
      </c>
      <c r="M548">
        <v>0</v>
      </c>
      <c r="O548">
        <v>0</v>
      </c>
    </row>
    <row r="549" spans="5:15" x14ac:dyDescent="0.3">
      <c r="E549">
        <v>0</v>
      </c>
      <c r="G549">
        <v>0</v>
      </c>
      <c r="I549">
        <v>0</v>
      </c>
      <c r="K549">
        <v>0</v>
      </c>
      <c r="M549">
        <v>0</v>
      </c>
      <c r="O549">
        <v>0</v>
      </c>
    </row>
    <row r="550" spans="5:15" x14ac:dyDescent="0.3">
      <c r="E550">
        <v>0</v>
      </c>
      <c r="G550">
        <v>0</v>
      </c>
      <c r="I550">
        <v>0</v>
      </c>
      <c r="K550">
        <v>0</v>
      </c>
      <c r="M550">
        <v>0</v>
      </c>
      <c r="O550">
        <v>0</v>
      </c>
    </row>
    <row r="551" spans="5:15" x14ac:dyDescent="0.3">
      <c r="E551">
        <v>0</v>
      </c>
      <c r="G551">
        <v>0</v>
      </c>
      <c r="I551">
        <v>0</v>
      </c>
      <c r="K551">
        <v>0</v>
      </c>
      <c r="M551">
        <v>0</v>
      </c>
      <c r="O551">
        <v>0</v>
      </c>
    </row>
    <row r="552" spans="5:15" x14ac:dyDescent="0.3">
      <c r="E552">
        <v>0</v>
      </c>
      <c r="G552">
        <v>0</v>
      </c>
      <c r="I552">
        <v>0</v>
      </c>
      <c r="K552">
        <v>0</v>
      </c>
      <c r="M552">
        <v>0</v>
      </c>
      <c r="O552">
        <v>0</v>
      </c>
    </row>
    <row r="553" spans="5:15" x14ac:dyDescent="0.3">
      <c r="E553">
        <v>0</v>
      </c>
      <c r="G553">
        <v>0</v>
      </c>
      <c r="I553">
        <v>0</v>
      </c>
      <c r="K553">
        <v>0</v>
      </c>
      <c r="M553">
        <v>0</v>
      </c>
      <c r="O553">
        <v>0</v>
      </c>
    </row>
    <row r="554" spans="5:15" x14ac:dyDescent="0.3">
      <c r="E554">
        <v>0</v>
      </c>
      <c r="G554">
        <v>0</v>
      </c>
      <c r="I554">
        <v>0</v>
      </c>
      <c r="K554">
        <v>0</v>
      </c>
      <c r="M554">
        <v>0</v>
      </c>
      <c r="O554">
        <v>0</v>
      </c>
    </row>
    <row r="555" spans="5:15" x14ac:dyDescent="0.3">
      <c r="E555">
        <v>0</v>
      </c>
      <c r="G555">
        <v>0</v>
      </c>
      <c r="I555">
        <v>0</v>
      </c>
      <c r="K555">
        <v>0</v>
      </c>
      <c r="M555">
        <v>0</v>
      </c>
      <c r="O555">
        <v>0</v>
      </c>
    </row>
    <row r="556" spans="5:15" x14ac:dyDescent="0.3">
      <c r="E556">
        <v>0</v>
      </c>
      <c r="G556">
        <v>0</v>
      </c>
      <c r="I556">
        <v>0</v>
      </c>
      <c r="K556">
        <v>0</v>
      </c>
      <c r="M556">
        <v>0</v>
      </c>
      <c r="O556">
        <v>0</v>
      </c>
    </row>
    <row r="557" spans="5:15" x14ac:dyDescent="0.3">
      <c r="E557">
        <v>0</v>
      </c>
      <c r="G557">
        <v>0</v>
      </c>
      <c r="I557">
        <v>0</v>
      </c>
      <c r="K557">
        <v>0</v>
      </c>
      <c r="M557">
        <v>0</v>
      </c>
      <c r="O557">
        <v>0</v>
      </c>
    </row>
    <row r="558" spans="5:15" x14ac:dyDescent="0.3">
      <c r="E558">
        <v>0</v>
      </c>
      <c r="G558">
        <v>0</v>
      </c>
      <c r="I558">
        <v>0</v>
      </c>
      <c r="K558">
        <v>0</v>
      </c>
      <c r="M558">
        <v>0</v>
      </c>
      <c r="O558">
        <v>0</v>
      </c>
    </row>
    <row r="559" spans="5:15" x14ac:dyDescent="0.3">
      <c r="E559">
        <v>0</v>
      </c>
      <c r="G559">
        <v>0</v>
      </c>
      <c r="I559">
        <v>0</v>
      </c>
      <c r="K559">
        <v>0</v>
      </c>
      <c r="M559">
        <v>0</v>
      </c>
      <c r="O559">
        <v>0</v>
      </c>
    </row>
    <row r="560" spans="5:15" x14ac:dyDescent="0.3">
      <c r="E560">
        <v>0</v>
      </c>
      <c r="G560">
        <v>0</v>
      </c>
      <c r="I560">
        <v>0</v>
      </c>
      <c r="K560">
        <v>0</v>
      </c>
      <c r="M560">
        <v>0</v>
      </c>
      <c r="O560">
        <v>0</v>
      </c>
    </row>
    <row r="561" spans="5:15" x14ac:dyDescent="0.3">
      <c r="E561">
        <v>0</v>
      </c>
      <c r="G561">
        <v>0</v>
      </c>
      <c r="I561">
        <v>0</v>
      </c>
      <c r="K561">
        <v>0</v>
      </c>
      <c r="M561">
        <v>0</v>
      </c>
      <c r="O561">
        <v>0</v>
      </c>
    </row>
    <row r="562" spans="5:15" x14ac:dyDescent="0.3">
      <c r="E562">
        <v>0</v>
      </c>
      <c r="G562">
        <v>0</v>
      </c>
      <c r="I562">
        <v>0</v>
      </c>
      <c r="K562">
        <v>0</v>
      </c>
      <c r="M562">
        <v>0</v>
      </c>
      <c r="O562">
        <v>0</v>
      </c>
    </row>
    <row r="563" spans="5:15" x14ac:dyDescent="0.3">
      <c r="E563">
        <v>0</v>
      </c>
      <c r="G563">
        <v>0</v>
      </c>
      <c r="I563">
        <v>0</v>
      </c>
      <c r="K563">
        <v>0</v>
      </c>
      <c r="M563">
        <v>0</v>
      </c>
      <c r="O563">
        <v>0</v>
      </c>
    </row>
    <row r="564" spans="5:15" x14ac:dyDescent="0.3">
      <c r="E564">
        <v>0</v>
      </c>
      <c r="G564">
        <v>0</v>
      </c>
      <c r="I564">
        <v>0</v>
      </c>
      <c r="K564">
        <v>0</v>
      </c>
      <c r="M564">
        <v>0</v>
      </c>
      <c r="O564">
        <v>0</v>
      </c>
    </row>
    <row r="565" spans="5:15" x14ac:dyDescent="0.3">
      <c r="E565">
        <v>0</v>
      </c>
      <c r="G565">
        <v>0</v>
      </c>
      <c r="I565">
        <v>0</v>
      </c>
      <c r="K565">
        <v>0</v>
      </c>
      <c r="M565">
        <v>0</v>
      </c>
      <c r="O565">
        <v>0</v>
      </c>
    </row>
    <row r="566" spans="5:15" x14ac:dyDescent="0.3">
      <c r="E566">
        <v>0</v>
      </c>
      <c r="G566">
        <v>0</v>
      </c>
      <c r="I566">
        <v>0</v>
      </c>
      <c r="K566">
        <v>0</v>
      </c>
      <c r="M566">
        <v>0</v>
      </c>
      <c r="O566">
        <v>0</v>
      </c>
    </row>
    <row r="567" spans="5:15" x14ac:dyDescent="0.3">
      <c r="E567">
        <v>0</v>
      </c>
      <c r="G567">
        <v>0</v>
      </c>
      <c r="I567">
        <v>0</v>
      </c>
      <c r="K567">
        <v>0</v>
      </c>
      <c r="M567">
        <v>0</v>
      </c>
      <c r="O567">
        <v>0</v>
      </c>
    </row>
    <row r="568" spans="5:15" x14ac:dyDescent="0.3">
      <c r="E568">
        <v>0</v>
      </c>
      <c r="G568">
        <v>0</v>
      </c>
      <c r="I568">
        <v>0</v>
      </c>
      <c r="K568">
        <v>0</v>
      </c>
      <c r="M568">
        <v>0</v>
      </c>
      <c r="O568">
        <v>0</v>
      </c>
    </row>
    <row r="569" spans="5:15" x14ac:dyDescent="0.3">
      <c r="E569">
        <v>0</v>
      </c>
      <c r="G569">
        <v>0</v>
      </c>
      <c r="I569">
        <v>0</v>
      </c>
      <c r="K569">
        <v>0</v>
      </c>
      <c r="M569">
        <v>0</v>
      </c>
      <c r="O569">
        <v>0</v>
      </c>
    </row>
    <row r="570" spans="5:15" x14ac:dyDescent="0.3">
      <c r="E570">
        <v>0</v>
      </c>
      <c r="G570">
        <v>0</v>
      </c>
      <c r="I570">
        <v>0</v>
      </c>
      <c r="K570">
        <v>0</v>
      </c>
      <c r="M570">
        <v>0</v>
      </c>
      <c r="O570">
        <v>0</v>
      </c>
    </row>
    <row r="571" spans="5:15" x14ac:dyDescent="0.3">
      <c r="E571">
        <v>0</v>
      </c>
      <c r="G571">
        <v>0</v>
      </c>
      <c r="I571">
        <v>0</v>
      </c>
      <c r="K571">
        <v>0</v>
      </c>
      <c r="M571">
        <v>0</v>
      </c>
      <c r="O571">
        <v>0</v>
      </c>
    </row>
    <row r="572" spans="5:15" x14ac:dyDescent="0.3">
      <c r="E572">
        <v>0</v>
      </c>
      <c r="G572">
        <v>0</v>
      </c>
      <c r="I572">
        <v>0</v>
      </c>
      <c r="K572">
        <v>0</v>
      </c>
      <c r="M572">
        <v>0</v>
      </c>
      <c r="O572">
        <v>0</v>
      </c>
    </row>
    <row r="573" spans="5:15" x14ac:dyDescent="0.3">
      <c r="E573">
        <v>0</v>
      </c>
      <c r="G573">
        <v>0</v>
      </c>
      <c r="I573">
        <v>0</v>
      </c>
      <c r="K573">
        <v>0</v>
      </c>
      <c r="M573">
        <v>0</v>
      </c>
      <c r="O573">
        <v>0</v>
      </c>
    </row>
    <row r="574" spans="5:15" x14ac:dyDescent="0.3">
      <c r="E574">
        <v>0</v>
      </c>
      <c r="G574">
        <v>0</v>
      </c>
      <c r="I574">
        <v>0</v>
      </c>
      <c r="K574">
        <v>0</v>
      </c>
      <c r="M574">
        <v>0</v>
      </c>
      <c r="O574">
        <v>0</v>
      </c>
    </row>
    <row r="575" spans="5:15" x14ac:dyDescent="0.3">
      <c r="E575">
        <v>0</v>
      </c>
      <c r="G575">
        <v>0</v>
      </c>
      <c r="I575">
        <v>0</v>
      </c>
      <c r="K575">
        <v>0</v>
      </c>
      <c r="M575">
        <v>0</v>
      </c>
      <c r="O575">
        <v>0</v>
      </c>
    </row>
    <row r="576" spans="5:15" x14ac:dyDescent="0.3">
      <c r="E576">
        <v>0</v>
      </c>
      <c r="G576">
        <v>0</v>
      </c>
      <c r="I576">
        <v>0</v>
      </c>
      <c r="K576">
        <v>0</v>
      </c>
      <c r="M576">
        <v>0</v>
      </c>
      <c r="O576">
        <v>0</v>
      </c>
    </row>
    <row r="577" spans="5:15" x14ac:dyDescent="0.3">
      <c r="E577">
        <v>0</v>
      </c>
      <c r="G577">
        <v>0</v>
      </c>
      <c r="I577">
        <v>0</v>
      </c>
      <c r="K577">
        <v>0</v>
      </c>
      <c r="M577">
        <v>0</v>
      </c>
      <c r="O577">
        <v>0</v>
      </c>
    </row>
    <row r="578" spans="5:15" x14ac:dyDescent="0.3">
      <c r="E578">
        <v>0</v>
      </c>
      <c r="G578">
        <v>0</v>
      </c>
      <c r="I578">
        <v>0</v>
      </c>
      <c r="K578">
        <v>0</v>
      </c>
      <c r="M578">
        <v>0</v>
      </c>
      <c r="O578">
        <v>0</v>
      </c>
    </row>
    <row r="579" spans="5:15" x14ac:dyDescent="0.3">
      <c r="E579">
        <v>0</v>
      </c>
      <c r="G579">
        <v>0</v>
      </c>
      <c r="I579">
        <v>0</v>
      </c>
      <c r="K579">
        <v>0</v>
      </c>
      <c r="M579">
        <v>0</v>
      </c>
      <c r="O579">
        <v>0</v>
      </c>
    </row>
    <row r="580" spans="5:15" x14ac:dyDescent="0.3">
      <c r="E580">
        <v>0</v>
      </c>
      <c r="G580">
        <v>0</v>
      </c>
      <c r="I580">
        <v>0</v>
      </c>
      <c r="K580">
        <v>0</v>
      </c>
      <c r="M580">
        <v>0</v>
      </c>
      <c r="O580">
        <v>0</v>
      </c>
    </row>
    <row r="581" spans="5:15" x14ac:dyDescent="0.3">
      <c r="E581">
        <v>0</v>
      </c>
      <c r="G581">
        <v>0</v>
      </c>
      <c r="I581">
        <v>0</v>
      </c>
      <c r="K581">
        <v>0</v>
      </c>
      <c r="M581">
        <v>0</v>
      </c>
      <c r="O581">
        <v>0</v>
      </c>
    </row>
    <row r="582" spans="5:15" x14ac:dyDescent="0.3">
      <c r="E582">
        <v>0</v>
      </c>
      <c r="G582">
        <v>0</v>
      </c>
      <c r="I582">
        <v>0</v>
      </c>
      <c r="K582">
        <v>0</v>
      </c>
      <c r="M582">
        <v>0</v>
      </c>
      <c r="O582">
        <v>0</v>
      </c>
    </row>
    <row r="583" spans="5:15" x14ac:dyDescent="0.3">
      <c r="E583">
        <v>0</v>
      </c>
      <c r="G583">
        <v>0</v>
      </c>
      <c r="I583">
        <v>0</v>
      </c>
      <c r="K583">
        <v>0</v>
      </c>
      <c r="M583">
        <v>0</v>
      </c>
      <c r="O583">
        <v>0</v>
      </c>
    </row>
    <row r="584" spans="5:15" x14ac:dyDescent="0.3">
      <c r="E584">
        <v>0</v>
      </c>
      <c r="G584">
        <v>0</v>
      </c>
      <c r="I584">
        <v>0</v>
      </c>
      <c r="K584">
        <v>0</v>
      </c>
      <c r="M584">
        <v>0</v>
      </c>
      <c r="O584">
        <v>0</v>
      </c>
    </row>
    <row r="585" spans="5:15" x14ac:dyDescent="0.3">
      <c r="E585">
        <v>0</v>
      </c>
      <c r="G585">
        <v>0</v>
      </c>
      <c r="I585">
        <v>0</v>
      </c>
      <c r="K585">
        <v>0</v>
      </c>
      <c r="M585">
        <v>0</v>
      </c>
      <c r="O585">
        <v>0</v>
      </c>
    </row>
    <row r="586" spans="5:15" x14ac:dyDescent="0.3">
      <c r="E586">
        <v>0</v>
      </c>
      <c r="G586">
        <v>0</v>
      </c>
      <c r="I586">
        <v>0</v>
      </c>
      <c r="K586">
        <v>0</v>
      </c>
      <c r="M586">
        <v>0</v>
      </c>
      <c r="O586">
        <v>0</v>
      </c>
    </row>
    <row r="587" spans="5:15" x14ac:dyDescent="0.3">
      <c r="E587">
        <v>0</v>
      </c>
      <c r="G587">
        <v>0</v>
      </c>
      <c r="I587">
        <v>0</v>
      </c>
      <c r="K587">
        <v>0</v>
      </c>
      <c r="M587">
        <v>0</v>
      </c>
      <c r="O587">
        <v>0</v>
      </c>
    </row>
    <row r="588" spans="5:15" x14ac:dyDescent="0.3">
      <c r="E588">
        <v>0</v>
      </c>
      <c r="G588">
        <v>0</v>
      </c>
      <c r="I588">
        <v>0</v>
      </c>
      <c r="K588">
        <v>0</v>
      </c>
      <c r="M588">
        <v>0</v>
      </c>
      <c r="O588">
        <v>0</v>
      </c>
    </row>
    <row r="589" spans="5:15" x14ac:dyDescent="0.3">
      <c r="E589">
        <v>0</v>
      </c>
      <c r="G589">
        <v>0</v>
      </c>
      <c r="I589">
        <v>0</v>
      </c>
      <c r="K589">
        <v>0</v>
      </c>
      <c r="M589">
        <v>0</v>
      </c>
      <c r="O589">
        <v>0</v>
      </c>
    </row>
    <row r="590" spans="5:15" x14ac:dyDescent="0.3">
      <c r="E590">
        <v>0</v>
      </c>
      <c r="G590">
        <v>0</v>
      </c>
      <c r="I590">
        <v>0</v>
      </c>
      <c r="K590">
        <v>0</v>
      </c>
      <c r="M590">
        <v>0</v>
      </c>
      <c r="O590">
        <v>0</v>
      </c>
    </row>
    <row r="591" spans="5:15" x14ac:dyDescent="0.3">
      <c r="E591">
        <v>0</v>
      </c>
      <c r="G591">
        <v>0</v>
      </c>
      <c r="I591">
        <v>0</v>
      </c>
      <c r="K591">
        <v>0</v>
      </c>
      <c r="M591">
        <v>0</v>
      </c>
      <c r="O591">
        <v>0</v>
      </c>
    </row>
    <row r="592" spans="5:15" x14ac:dyDescent="0.3">
      <c r="E592">
        <v>0</v>
      </c>
      <c r="G592">
        <v>0</v>
      </c>
      <c r="I592">
        <v>0</v>
      </c>
      <c r="K592">
        <v>0</v>
      </c>
      <c r="M592">
        <v>0</v>
      </c>
      <c r="O592">
        <v>0</v>
      </c>
    </row>
    <row r="593" spans="5:15" x14ac:dyDescent="0.3">
      <c r="E593">
        <v>0</v>
      </c>
      <c r="G593">
        <v>0</v>
      </c>
      <c r="I593">
        <v>0</v>
      </c>
      <c r="K593">
        <v>0</v>
      </c>
      <c r="M593">
        <v>0</v>
      </c>
      <c r="O593">
        <v>0</v>
      </c>
    </row>
    <row r="594" spans="5:15" x14ac:dyDescent="0.3">
      <c r="E594">
        <v>0</v>
      </c>
      <c r="G594">
        <v>0</v>
      </c>
      <c r="I594">
        <v>0</v>
      </c>
      <c r="K594">
        <v>0</v>
      </c>
      <c r="M594">
        <v>0</v>
      </c>
      <c r="O594">
        <v>0</v>
      </c>
    </row>
    <row r="595" spans="5:15" x14ac:dyDescent="0.3">
      <c r="E595">
        <v>0</v>
      </c>
      <c r="G595">
        <v>0</v>
      </c>
      <c r="I595">
        <v>0</v>
      </c>
      <c r="K595">
        <v>0</v>
      </c>
      <c r="M595">
        <v>0</v>
      </c>
      <c r="O595">
        <v>0</v>
      </c>
    </row>
    <row r="596" spans="5:15" x14ac:dyDescent="0.3">
      <c r="E596">
        <v>0</v>
      </c>
      <c r="G596">
        <v>0</v>
      </c>
      <c r="I596">
        <v>0</v>
      </c>
      <c r="K596">
        <v>0</v>
      </c>
      <c r="M596">
        <v>0</v>
      </c>
      <c r="O596">
        <v>0</v>
      </c>
    </row>
    <row r="597" spans="5:15" x14ac:dyDescent="0.3">
      <c r="E597">
        <v>0</v>
      </c>
      <c r="G597">
        <v>0</v>
      </c>
      <c r="I597">
        <v>0</v>
      </c>
      <c r="K597">
        <v>0</v>
      </c>
      <c r="M597">
        <v>0</v>
      </c>
      <c r="O597">
        <v>0</v>
      </c>
    </row>
    <row r="598" spans="5:15" x14ac:dyDescent="0.3">
      <c r="E598">
        <v>0</v>
      </c>
      <c r="G598">
        <v>0</v>
      </c>
      <c r="I598">
        <v>0</v>
      </c>
      <c r="K598">
        <v>0</v>
      </c>
      <c r="M598">
        <v>0</v>
      </c>
      <c r="O598">
        <v>0</v>
      </c>
    </row>
    <row r="599" spans="5:15" x14ac:dyDescent="0.3">
      <c r="E599">
        <v>0</v>
      </c>
      <c r="G599">
        <v>0</v>
      </c>
      <c r="I599">
        <v>0</v>
      </c>
      <c r="K599">
        <v>0</v>
      </c>
      <c r="M599">
        <v>0</v>
      </c>
      <c r="O599">
        <v>0</v>
      </c>
    </row>
    <row r="600" spans="5:15" x14ac:dyDescent="0.3">
      <c r="E600">
        <v>0</v>
      </c>
      <c r="G600">
        <v>0</v>
      </c>
      <c r="I600">
        <v>0</v>
      </c>
      <c r="K600">
        <v>0</v>
      </c>
      <c r="M600">
        <v>0</v>
      </c>
      <c r="O600">
        <v>0</v>
      </c>
    </row>
    <row r="601" spans="5:15" x14ac:dyDescent="0.3">
      <c r="E601">
        <v>0</v>
      </c>
      <c r="G601">
        <v>0</v>
      </c>
      <c r="I601">
        <v>0</v>
      </c>
      <c r="K601">
        <v>0</v>
      </c>
      <c r="M601">
        <v>0</v>
      </c>
      <c r="O601">
        <v>0</v>
      </c>
    </row>
    <row r="602" spans="5:15" x14ac:dyDescent="0.3">
      <c r="E602">
        <v>0</v>
      </c>
      <c r="G602">
        <v>0</v>
      </c>
      <c r="I602">
        <v>0</v>
      </c>
      <c r="K602">
        <v>0</v>
      </c>
      <c r="M602">
        <v>0</v>
      </c>
      <c r="O602">
        <v>0</v>
      </c>
    </row>
    <row r="603" spans="5:15" x14ac:dyDescent="0.3">
      <c r="E603">
        <v>0</v>
      </c>
      <c r="G603">
        <v>0</v>
      </c>
      <c r="I603">
        <v>0</v>
      </c>
      <c r="K603">
        <v>0</v>
      </c>
      <c r="M603">
        <v>0</v>
      </c>
      <c r="O603">
        <v>0</v>
      </c>
    </row>
    <row r="604" spans="5:15" x14ac:dyDescent="0.3">
      <c r="E604">
        <v>0</v>
      </c>
      <c r="G604">
        <v>0</v>
      </c>
      <c r="I604">
        <v>0</v>
      </c>
      <c r="K604">
        <v>0</v>
      </c>
      <c r="M604">
        <v>0</v>
      </c>
      <c r="O604">
        <v>0</v>
      </c>
    </row>
    <row r="605" spans="5:15" x14ac:dyDescent="0.3">
      <c r="E605">
        <v>0</v>
      </c>
      <c r="G605">
        <v>0</v>
      </c>
      <c r="I605">
        <v>0</v>
      </c>
      <c r="K605">
        <v>0</v>
      </c>
      <c r="M605">
        <v>0</v>
      </c>
      <c r="O605">
        <v>0</v>
      </c>
    </row>
    <row r="606" spans="5:15" x14ac:dyDescent="0.3">
      <c r="E606">
        <v>0</v>
      </c>
      <c r="G606">
        <v>0</v>
      </c>
      <c r="I606">
        <v>0</v>
      </c>
      <c r="K606">
        <v>0</v>
      </c>
      <c r="M606">
        <v>0</v>
      </c>
      <c r="O606">
        <v>0</v>
      </c>
    </row>
    <row r="607" spans="5:15" x14ac:dyDescent="0.3">
      <c r="E607">
        <v>0</v>
      </c>
      <c r="G607">
        <v>0</v>
      </c>
      <c r="I607">
        <v>0</v>
      </c>
      <c r="K607">
        <v>0</v>
      </c>
      <c r="M607">
        <v>0</v>
      </c>
      <c r="O607">
        <v>0</v>
      </c>
    </row>
    <row r="608" spans="5:15" x14ac:dyDescent="0.3">
      <c r="E608">
        <v>0</v>
      </c>
      <c r="G608">
        <v>0</v>
      </c>
      <c r="I608">
        <v>0</v>
      </c>
      <c r="K608">
        <v>0</v>
      </c>
      <c r="M608">
        <v>0</v>
      </c>
      <c r="O608">
        <v>0</v>
      </c>
    </row>
    <row r="609" spans="5:15" x14ac:dyDescent="0.3">
      <c r="E609">
        <v>0</v>
      </c>
      <c r="G609">
        <v>0</v>
      </c>
      <c r="I609">
        <v>0</v>
      </c>
      <c r="K609">
        <v>0</v>
      </c>
      <c r="M609">
        <v>0</v>
      </c>
      <c r="O609">
        <v>0</v>
      </c>
    </row>
    <row r="610" spans="5:15" x14ac:dyDescent="0.3">
      <c r="E610">
        <v>0</v>
      </c>
      <c r="G610">
        <v>0</v>
      </c>
      <c r="I610">
        <v>0</v>
      </c>
      <c r="K610">
        <v>0</v>
      </c>
      <c r="M610">
        <v>0</v>
      </c>
      <c r="O610">
        <v>0</v>
      </c>
    </row>
    <row r="611" spans="5:15" x14ac:dyDescent="0.3">
      <c r="E611">
        <v>0</v>
      </c>
      <c r="G611">
        <v>0</v>
      </c>
      <c r="I611">
        <v>0</v>
      </c>
      <c r="K611">
        <v>0</v>
      </c>
      <c r="M611">
        <v>0</v>
      </c>
      <c r="O611">
        <v>0</v>
      </c>
    </row>
    <row r="612" spans="5:15" x14ac:dyDescent="0.3">
      <c r="E612">
        <v>0</v>
      </c>
      <c r="G612">
        <v>0</v>
      </c>
      <c r="I612">
        <v>0</v>
      </c>
      <c r="K612">
        <v>0</v>
      </c>
      <c r="M612">
        <v>0</v>
      </c>
      <c r="O612">
        <v>0</v>
      </c>
    </row>
    <row r="613" spans="5:15" x14ac:dyDescent="0.3">
      <c r="E613">
        <v>0</v>
      </c>
      <c r="G613">
        <v>0</v>
      </c>
      <c r="I613">
        <v>0</v>
      </c>
      <c r="K613">
        <v>0</v>
      </c>
      <c r="M613">
        <v>0</v>
      </c>
      <c r="O613">
        <v>0</v>
      </c>
    </row>
    <row r="614" spans="5:15" x14ac:dyDescent="0.3">
      <c r="E614">
        <v>0</v>
      </c>
      <c r="G614">
        <v>0</v>
      </c>
      <c r="I614">
        <v>0</v>
      </c>
      <c r="K614">
        <v>0</v>
      </c>
      <c r="M614">
        <v>0</v>
      </c>
      <c r="O614">
        <v>0</v>
      </c>
    </row>
    <row r="615" spans="5:15" x14ac:dyDescent="0.3">
      <c r="E615">
        <v>0</v>
      </c>
      <c r="G615">
        <v>0</v>
      </c>
      <c r="I615">
        <v>0</v>
      </c>
      <c r="K615">
        <v>0</v>
      </c>
      <c r="M615">
        <v>0</v>
      </c>
      <c r="O615">
        <v>0</v>
      </c>
    </row>
    <row r="616" spans="5:15" x14ac:dyDescent="0.3">
      <c r="E616">
        <v>0</v>
      </c>
      <c r="G616">
        <v>0</v>
      </c>
      <c r="I616">
        <v>0</v>
      </c>
      <c r="K616">
        <v>0</v>
      </c>
      <c r="M616">
        <v>0</v>
      </c>
      <c r="O616">
        <v>0</v>
      </c>
    </row>
    <row r="617" spans="5:15" x14ac:dyDescent="0.3">
      <c r="E617">
        <v>0</v>
      </c>
      <c r="G617">
        <v>0</v>
      </c>
      <c r="I617">
        <v>0</v>
      </c>
      <c r="K617">
        <v>0</v>
      </c>
      <c r="M617">
        <v>0</v>
      </c>
      <c r="O617">
        <v>0</v>
      </c>
    </row>
    <row r="618" spans="5:15" x14ac:dyDescent="0.3">
      <c r="E618">
        <v>0</v>
      </c>
      <c r="G618">
        <v>0</v>
      </c>
      <c r="I618">
        <v>0</v>
      </c>
      <c r="K618">
        <v>0</v>
      </c>
      <c r="M618">
        <v>0</v>
      </c>
      <c r="O618">
        <v>0</v>
      </c>
    </row>
    <row r="619" spans="5:15" x14ac:dyDescent="0.3">
      <c r="E619">
        <v>0</v>
      </c>
      <c r="G619">
        <v>0</v>
      </c>
      <c r="I619">
        <v>0</v>
      </c>
      <c r="K619">
        <v>0</v>
      </c>
      <c r="M619">
        <v>0</v>
      </c>
      <c r="O619">
        <v>0</v>
      </c>
    </row>
    <row r="620" spans="5:15" x14ac:dyDescent="0.3">
      <c r="E620">
        <v>0</v>
      </c>
      <c r="G620">
        <v>0</v>
      </c>
      <c r="I620">
        <v>0</v>
      </c>
      <c r="K620">
        <v>0</v>
      </c>
      <c r="M620">
        <v>0</v>
      </c>
      <c r="O620">
        <v>0</v>
      </c>
    </row>
    <row r="621" spans="5:15" x14ac:dyDescent="0.3">
      <c r="E621">
        <v>0</v>
      </c>
      <c r="G621">
        <v>0</v>
      </c>
      <c r="I621">
        <v>0</v>
      </c>
      <c r="K621">
        <v>0</v>
      </c>
      <c r="M621">
        <v>0</v>
      </c>
      <c r="O621">
        <v>0</v>
      </c>
    </row>
    <row r="622" spans="5:15" x14ac:dyDescent="0.3">
      <c r="E622">
        <v>0</v>
      </c>
      <c r="G622">
        <v>0</v>
      </c>
      <c r="I622">
        <v>0</v>
      </c>
      <c r="K622">
        <v>0</v>
      </c>
      <c r="M622">
        <v>0</v>
      </c>
      <c r="O622">
        <v>0</v>
      </c>
    </row>
    <row r="623" spans="5:15" x14ac:dyDescent="0.3">
      <c r="E623">
        <v>0</v>
      </c>
      <c r="G623">
        <v>0</v>
      </c>
      <c r="I623">
        <v>0</v>
      </c>
      <c r="K623">
        <v>0</v>
      </c>
      <c r="M623">
        <v>0</v>
      </c>
      <c r="O623">
        <v>0</v>
      </c>
    </row>
    <row r="624" spans="5:15" x14ac:dyDescent="0.3">
      <c r="E624">
        <v>0</v>
      </c>
      <c r="G624">
        <v>0</v>
      </c>
      <c r="I624">
        <v>0</v>
      </c>
      <c r="K624">
        <v>0</v>
      </c>
      <c r="M624">
        <v>0</v>
      </c>
      <c r="O624">
        <v>0</v>
      </c>
    </row>
    <row r="625" spans="5:15" x14ac:dyDescent="0.3">
      <c r="E625">
        <v>0</v>
      </c>
      <c r="G625">
        <v>0</v>
      </c>
      <c r="I625">
        <v>0</v>
      </c>
      <c r="K625">
        <v>0</v>
      </c>
      <c r="M625">
        <v>0</v>
      </c>
      <c r="O625">
        <v>0</v>
      </c>
    </row>
    <row r="626" spans="5:15" x14ac:dyDescent="0.3">
      <c r="E626">
        <v>0</v>
      </c>
      <c r="G626">
        <v>0</v>
      </c>
      <c r="I626">
        <v>0</v>
      </c>
      <c r="K626">
        <v>0</v>
      </c>
      <c r="M626">
        <v>0</v>
      </c>
      <c r="O626">
        <v>0</v>
      </c>
    </row>
    <row r="627" spans="5:15" x14ac:dyDescent="0.3">
      <c r="E627">
        <v>0</v>
      </c>
      <c r="G627">
        <v>0</v>
      </c>
      <c r="I627">
        <v>0</v>
      </c>
      <c r="K627">
        <v>0</v>
      </c>
      <c r="M627">
        <v>0</v>
      </c>
      <c r="O627">
        <v>0</v>
      </c>
    </row>
    <row r="628" spans="5:15" x14ac:dyDescent="0.3">
      <c r="E628">
        <v>0</v>
      </c>
      <c r="G628">
        <v>0</v>
      </c>
      <c r="I628">
        <v>0</v>
      </c>
      <c r="K628">
        <v>0</v>
      </c>
      <c r="M628">
        <v>0</v>
      </c>
      <c r="O628">
        <v>0</v>
      </c>
    </row>
    <row r="629" spans="5:15" x14ac:dyDescent="0.3">
      <c r="E629">
        <v>0</v>
      </c>
      <c r="G629">
        <v>0</v>
      </c>
      <c r="I629">
        <v>0</v>
      </c>
      <c r="K629">
        <v>0</v>
      </c>
      <c r="M629">
        <v>0</v>
      </c>
      <c r="O629">
        <v>0</v>
      </c>
    </row>
    <row r="630" spans="5:15" x14ac:dyDescent="0.3">
      <c r="E630">
        <v>0</v>
      </c>
      <c r="G630">
        <v>0</v>
      </c>
      <c r="I630">
        <v>0</v>
      </c>
      <c r="K630">
        <v>0</v>
      </c>
      <c r="M630">
        <v>0</v>
      </c>
      <c r="O630">
        <v>0</v>
      </c>
    </row>
    <row r="631" spans="5:15" x14ac:dyDescent="0.3">
      <c r="E631">
        <v>0</v>
      </c>
      <c r="G631">
        <v>0</v>
      </c>
      <c r="I631">
        <v>0</v>
      </c>
      <c r="K631">
        <v>0</v>
      </c>
      <c r="M631">
        <v>0</v>
      </c>
      <c r="O631">
        <v>0</v>
      </c>
    </row>
    <row r="632" spans="5:15" x14ac:dyDescent="0.3">
      <c r="E632">
        <v>0</v>
      </c>
      <c r="G632">
        <v>0</v>
      </c>
      <c r="I632">
        <v>0</v>
      </c>
      <c r="K632">
        <v>0</v>
      </c>
      <c r="M632">
        <v>0</v>
      </c>
      <c r="O632">
        <v>0</v>
      </c>
    </row>
    <row r="633" spans="5:15" x14ac:dyDescent="0.3">
      <c r="E633">
        <v>0</v>
      </c>
      <c r="G633">
        <v>0</v>
      </c>
      <c r="I633">
        <v>0</v>
      </c>
      <c r="K633">
        <v>0</v>
      </c>
      <c r="M633">
        <v>0</v>
      </c>
      <c r="O633">
        <v>0</v>
      </c>
    </row>
    <row r="634" spans="5:15" x14ac:dyDescent="0.3">
      <c r="E634">
        <v>0</v>
      </c>
      <c r="G634">
        <v>0</v>
      </c>
      <c r="I634">
        <v>0</v>
      </c>
      <c r="K634">
        <v>0</v>
      </c>
      <c r="M634">
        <v>0</v>
      </c>
      <c r="O634">
        <v>0</v>
      </c>
    </row>
    <row r="635" spans="5:15" x14ac:dyDescent="0.3">
      <c r="E635">
        <v>0</v>
      </c>
      <c r="G635">
        <v>0</v>
      </c>
      <c r="I635">
        <v>0</v>
      </c>
      <c r="K635">
        <v>0</v>
      </c>
      <c r="M635">
        <v>0</v>
      </c>
      <c r="O635">
        <v>0</v>
      </c>
    </row>
    <row r="636" spans="5:15" x14ac:dyDescent="0.3">
      <c r="E636">
        <v>0</v>
      </c>
      <c r="G636">
        <v>0</v>
      </c>
      <c r="I636">
        <v>0</v>
      </c>
      <c r="K636">
        <v>0</v>
      </c>
      <c r="M636">
        <v>0</v>
      </c>
      <c r="O636">
        <v>0</v>
      </c>
    </row>
    <row r="637" spans="5:15" x14ac:dyDescent="0.3">
      <c r="E637">
        <v>0</v>
      </c>
      <c r="G637">
        <v>0</v>
      </c>
      <c r="I637">
        <v>0</v>
      </c>
      <c r="K637">
        <v>0</v>
      </c>
      <c r="M637">
        <v>0</v>
      </c>
      <c r="O637">
        <v>0</v>
      </c>
    </row>
    <row r="638" spans="5:15" x14ac:dyDescent="0.3">
      <c r="E638">
        <v>0</v>
      </c>
      <c r="G638">
        <v>0</v>
      </c>
      <c r="I638">
        <v>0</v>
      </c>
      <c r="K638">
        <v>0</v>
      </c>
      <c r="M638">
        <v>0</v>
      </c>
      <c r="O638">
        <v>0</v>
      </c>
    </row>
    <row r="639" spans="5:15" x14ac:dyDescent="0.3">
      <c r="E639">
        <v>0</v>
      </c>
      <c r="G639">
        <v>0</v>
      </c>
      <c r="I639">
        <v>0</v>
      </c>
      <c r="K639">
        <v>0</v>
      </c>
      <c r="M639">
        <v>0</v>
      </c>
      <c r="O639">
        <v>0</v>
      </c>
    </row>
    <row r="640" spans="5:15" x14ac:dyDescent="0.3">
      <c r="E640">
        <v>0</v>
      </c>
      <c r="G640">
        <v>0</v>
      </c>
      <c r="I640">
        <v>0</v>
      </c>
      <c r="K640">
        <v>0</v>
      </c>
      <c r="M640">
        <v>0</v>
      </c>
      <c r="O640">
        <v>0</v>
      </c>
    </row>
    <row r="641" spans="5:15" x14ac:dyDescent="0.3">
      <c r="E641">
        <v>0</v>
      </c>
      <c r="G641">
        <v>0</v>
      </c>
      <c r="I641">
        <v>0</v>
      </c>
      <c r="K641">
        <v>0</v>
      </c>
      <c r="M641">
        <v>0</v>
      </c>
      <c r="O641">
        <v>0</v>
      </c>
    </row>
    <row r="642" spans="5:15" x14ac:dyDescent="0.3">
      <c r="E642">
        <v>0</v>
      </c>
      <c r="G642">
        <v>0</v>
      </c>
      <c r="I642">
        <v>0</v>
      </c>
      <c r="K642">
        <v>0</v>
      </c>
      <c r="M642">
        <v>0</v>
      </c>
      <c r="O642">
        <v>0</v>
      </c>
    </row>
    <row r="643" spans="5:15" x14ac:dyDescent="0.3">
      <c r="E643">
        <v>0</v>
      </c>
      <c r="G643">
        <v>0</v>
      </c>
      <c r="I643">
        <v>0</v>
      </c>
      <c r="K643">
        <v>0</v>
      </c>
      <c r="M643">
        <v>0</v>
      </c>
      <c r="O643">
        <v>0</v>
      </c>
    </row>
    <row r="644" spans="5:15" x14ac:dyDescent="0.3">
      <c r="E644">
        <v>0</v>
      </c>
      <c r="G644">
        <v>0</v>
      </c>
      <c r="I644">
        <v>0</v>
      </c>
      <c r="K644">
        <v>0</v>
      </c>
      <c r="M644">
        <v>0</v>
      </c>
      <c r="O644">
        <v>0</v>
      </c>
    </row>
    <row r="645" spans="5:15" x14ac:dyDescent="0.3">
      <c r="E645">
        <v>0</v>
      </c>
      <c r="G645">
        <v>0</v>
      </c>
      <c r="I645">
        <v>0</v>
      </c>
      <c r="K645">
        <v>0</v>
      </c>
      <c r="M645">
        <v>0</v>
      </c>
      <c r="O645">
        <v>0</v>
      </c>
    </row>
    <row r="646" spans="5:15" x14ac:dyDescent="0.3">
      <c r="E646">
        <v>0</v>
      </c>
      <c r="G646">
        <v>0</v>
      </c>
      <c r="I646">
        <v>0</v>
      </c>
      <c r="K646">
        <v>0</v>
      </c>
      <c r="M646">
        <v>0</v>
      </c>
      <c r="O646">
        <v>0</v>
      </c>
    </row>
    <row r="647" spans="5:15" x14ac:dyDescent="0.3">
      <c r="E647">
        <v>0</v>
      </c>
      <c r="G647">
        <v>0</v>
      </c>
      <c r="I647">
        <v>0</v>
      </c>
      <c r="K647">
        <v>0</v>
      </c>
      <c r="M647">
        <v>0</v>
      </c>
      <c r="O647">
        <v>0</v>
      </c>
    </row>
    <row r="648" spans="5:15" x14ac:dyDescent="0.3">
      <c r="E648">
        <v>0</v>
      </c>
      <c r="G648">
        <v>0</v>
      </c>
      <c r="I648">
        <v>0</v>
      </c>
      <c r="K648">
        <v>0</v>
      </c>
      <c r="M648">
        <v>0</v>
      </c>
      <c r="O648">
        <v>0</v>
      </c>
    </row>
    <row r="649" spans="5:15" x14ac:dyDescent="0.3">
      <c r="E649">
        <v>0</v>
      </c>
      <c r="G649">
        <v>0</v>
      </c>
      <c r="I649">
        <v>0</v>
      </c>
      <c r="K649">
        <v>0</v>
      </c>
      <c r="M649">
        <v>0</v>
      </c>
      <c r="O649">
        <v>0</v>
      </c>
    </row>
    <row r="650" spans="5:15" x14ac:dyDescent="0.3">
      <c r="E650">
        <v>0</v>
      </c>
      <c r="G650">
        <v>0</v>
      </c>
      <c r="I650">
        <v>0</v>
      </c>
      <c r="K650">
        <v>0</v>
      </c>
      <c r="M650">
        <v>0</v>
      </c>
      <c r="O650">
        <v>0</v>
      </c>
    </row>
    <row r="651" spans="5:15" x14ac:dyDescent="0.3">
      <c r="E651">
        <v>0</v>
      </c>
      <c r="G651">
        <v>0</v>
      </c>
      <c r="I651">
        <v>0</v>
      </c>
      <c r="K651">
        <v>0</v>
      </c>
      <c r="M651">
        <v>0</v>
      </c>
      <c r="O651">
        <v>0</v>
      </c>
    </row>
    <row r="652" spans="5:15" x14ac:dyDescent="0.3">
      <c r="E652">
        <v>0</v>
      </c>
      <c r="G652">
        <v>0</v>
      </c>
      <c r="I652">
        <v>0</v>
      </c>
      <c r="K652">
        <v>0</v>
      </c>
      <c r="M652">
        <v>0</v>
      </c>
      <c r="O652">
        <v>0</v>
      </c>
    </row>
    <row r="653" spans="5:15" x14ac:dyDescent="0.3">
      <c r="E653">
        <v>0</v>
      </c>
      <c r="G653">
        <v>0</v>
      </c>
      <c r="I653">
        <v>0</v>
      </c>
      <c r="K653">
        <v>0</v>
      </c>
      <c r="M653">
        <v>0</v>
      </c>
      <c r="O653">
        <v>0</v>
      </c>
    </row>
    <row r="654" spans="5:15" x14ac:dyDescent="0.3">
      <c r="E654">
        <v>0</v>
      </c>
      <c r="G654">
        <v>0</v>
      </c>
      <c r="I654">
        <v>0</v>
      </c>
      <c r="K654">
        <v>0</v>
      </c>
      <c r="M654">
        <v>0</v>
      </c>
      <c r="O654">
        <v>0</v>
      </c>
    </row>
    <row r="655" spans="5:15" x14ac:dyDescent="0.3">
      <c r="E655">
        <v>0</v>
      </c>
      <c r="G655">
        <v>0</v>
      </c>
      <c r="I655">
        <v>0</v>
      </c>
      <c r="K655">
        <v>0</v>
      </c>
      <c r="M655">
        <v>0</v>
      </c>
      <c r="O655">
        <v>0</v>
      </c>
    </row>
    <row r="656" spans="5:15" x14ac:dyDescent="0.3">
      <c r="E656">
        <v>0</v>
      </c>
      <c r="G656">
        <v>0</v>
      </c>
      <c r="I656">
        <v>0</v>
      </c>
      <c r="K656">
        <v>0</v>
      </c>
      <c r="M656">
        <v>0</v>
      </c>
      <c r="O656">
        <v>0</v>
      </c>
    </row>
    <row r="657" spans="5:15" x14ac:dyDescent="0.3">
      <c r="E657">
        <v>0</v>
      </c>
      <c r="G657">
        <v>0</v>
      </c>
      <c r="I657">
        <v>0</v>
      </c>
      <c r="K657">
        <v>0</v>
      </c>
      <c r="M657">
        <v>0</v>
      </c>
      <c r="O657">
        <v>0</v>
      </c>
    </row>
    <row r="658" spans="5:15" x14ac:dyDescent="0.3">
      <c r="E658">
        <v>0</v>
      </c>
      <c r="G658">
        <v>0</v>
      </c>
      <c r="I658">
        <v>0</v>
      </c>
      <c r="K658">
        <v>0</v>
      </c>
      <c r="M658">
        <v>0</v>
      </c>
      <c r="O658">
        <v>0</v>
      </c>
    </row>
    <row r="659" spans="5:15" x14ac:dyDescent="0.3">
      <c r="E659">
        <v>0</v>
      </c>
      <c r="G659">
        <v>0</v>
      </c>
      <c r="I659">
        <v>0</v>
      </c>
      <c r="K659">
        <v>0</v>
      </c>
      <c r="M659">
        <v>0</v>
      </c>
      <c r="O659">
        <v>0</v>
      </c>
    </row>
    <row r="660" spans="5:15" x14ac:dyDescent="0.3">
      <c r="E660">
        <v>0</v>
      </c>
      <c r="G660">
        <v>0</v>
      </c>
      <c r="I660">
        <v>0</v>
      </c>
      <c r="K660">
        <v>0</v>
      </c>
      <c r="M660">
        <v>0</v>
      </c>
      <c r="O660">
        <v>0</v>
      </c>
    </row>
    <row r="661" spans="5:15" x14ac:dyDescent="0.3">
      <c r="E661">
        <v>0</v>
      </c>
      <c r="G661">
        <v>0</v>
      </c>
      <c r="I661">
        <v>0</v>
      </c>
      <c r="K661">
        <v>0</v>
      </c>
      <c r="M661">
        <v>0</v>
      </c>
      <c r="O661">
        <v>0</v>
      </c>
    </row>
    <row r="662" spans="5:15" x14ac:dyDescent="0.3">
      <c r="E662">
        <v>0</v>
      </c>
      <c r="G662">
        <v>0</v>
      </c>
      <c r="I662">
        <v>0</v>
      </c>
      <c r="K662">
        <v>0</v>
      </c>
      <c r="M662">
        <v>0</v>
      </c>
      <c r="O662">
        <v>0</v>
      </c>
    </row>
    <row r="663" spans="5:15" x14ac:dyDescent="0.3">
      <c r="E663">
        <v>0</v>
      </c>
      <c r="G663">
        <v>0</v>
      </c>
      <c r="I663">
        <v>0</v>
      </c>
      <c r="K663">
        <v>0</v>
      </c>
      <c r="M663">
        <v>0</v>
      </c>
      <c r="O663">
        <v>0</v>
      </c>
    </row>
    <row r="664" spans="5:15" x14ac:dyDescent="0.3">
      <c r="E664">
        <v>0</v>
      </c>
      <c r="G664">
        <v>0</v>
      </c>
      <c r="I664">
        <v>0</v>
      </c>
      <c r="K664">
        <v>0</v>
      </c>
      <c r="M664">
        <v>0</v>
      </c>
      <c r="O664">
        <v>0</v>
      </c>
    </row>
    <row r="665" spans="5:15" x14ac:dyDescent="0.3">
      <c r="E665">
        <v>0</v>
      </c>
      <c r="G665">
        <v>0</v>
      </c>
      <c r="I665">
        <v>0</v>
      </c>
      <c r="K665">
        <v>0</v>
      </c>
      <c r="M665">
        <v>0</v>
      </c>
      <c r="O665">
        <v>0</v>
      </c>
    </row>
    <row r="666" spans="5:15" x14ac:dyDescent="0.3">
      <c r="E666">
        <v>0</v>
      </c>
      <c r="G666">
        <v>0</v>
      </c>
      <c r="I666">
        <v>0</v>
      </c>
      <c r="K666">
        <v>0</v>
      </c>
      <c r="M666">
        <v>0</v>
      </c>
      <c r="O666">
        <v>0</v>
      </c>
    </row>
    <row r="667" spans="5:15" x14ac:dyDescent="0.3">
      <c r="E667">
        <v>0</v>
      </c>
      <c r="G667">
        <v>0</v>
      </c>
      <c r="I667">
        <v>0</v>
      </c>
      <c r="K667">
        <v>0</v>
      </c>
      <c r="M667">
        <v>0</v>
      </c>
      <c r="O667">
        <v>0</v>
      </c>
    </row>
    <row r="668" spans="5:15" x14ac:dyDescent="0.3">
      <c r="E668">
        <v>0</v>
      </c>
      <c r="G668">
        <v>0</v>
      </c>
      <c r="I668">
        <v>0</v>
      </c>
      <c r="K668">
        <v>0</v>
      </c>
      <c r="M668">
        <v>0</v>
      </c>
      <c r="O668">
        <v>0</v>
      </c>
    </row>
    <row r="669" spans="5:15" x14ac:dyDescent="0.3">
      <c r="E669">
        <v>0</v>
      </c>
      <c r="G669">
        <v>0</v>
      </c>
      <c r="I669">
        <v>0</v>
      </c>
      <c r="K669">
        <v>0</v>
      </c>
      <c r="M669">
        <v>0</v>
      </c>
      <c r="O669">
        <v>0</v>
      </c>
    </row>
    <row r="670" spans="5:15" x14ac:dyDescent="0.3">
      <c r="E670">
        <v>0</v>
      </c>
      <c r="G670">
        <v>0</v>
      </c>
      <c r="I670">
        <v>0</v>
      </c>
      <c r="K670">
        <v>0</v>
      </c>
      <c r="M670">
        <v>0</v>
      </c>
      <c r="O670">
        <v>0</v>
      </c>
    </row>
    <row r="671" spans="5:15" x14ac:dyDescent="0.3">
      <c r="E671">
        <v>0</v>
      </c>
      <c r="G671">
        <v>0</v>
      </c>
      <c r="I671">
        <v>0</v>
      </c>
      <c r="K671">
        <v>0</v>
      </c>
      <c r="M671">
        <v>0</v>
      </c>
      <c r="O671">
        <v>0</v>
      </c>
    </row>
    <row r="672" spans="5:15" x14ac:dyDescent="0.3">
      <c r="E672">
        <v>0</v>
      </c>
      <c r="G672">
        <v>0</v>
      </c>
      <c r="I672">
        <v>0</v>
      </c>
      <c r="K672">
        <v>0</v>
      </c>
      <c r="M672">
        <v>0</v>
      </c>
      <c r="O672">
        <v>0</v>
      </c>
    </row>
    <row r="673" spans="5:15" x14ac:dyDescent="0.3">
      <c r="E673">
        <v>0</v>
      </c>
      <c r="G673">
        <v>0</v>
      </c>
      <c r="I673">
        <v>0</v>
      </c>
      <c r="K673">
        <v>0</v>
      </c>
      <c r="M673">
        <v>0</v>
      </c>
      <c r="O673">
        <v>0</v>
      </c>
    </row>
    <row r="674" spans="5:15" x14ac:dyDescent="0.3">
      <c r="E674">
        <v>0</v>
      </c>
      <c r="G674">
        <v>0</v>
      </c>
      <c r="I674">
        <v>0</v>
      </c>
      <c r="K674">
        <v>0</v>
      </c>
      <c r="M674">
        <v>0</v>
      </c>
      <c r="O674">
        <v>0</v>
      </c>
    </row>
    <row r="675" spans="5:15" x14ac:dyDescent="0.3">
      <c r="E675">
        <v>0</v>
      </c>
      <c r="G675">
        <v>0</v>
      </c>
      <c r="I675">
        <v>0</v>
      </c>
      <c r="K675">
        <v>0</v>
      </c>
      <c r="M675">
        <v>0</v>
      </c>
      <c r="O675">
        <v>0</v>
      </c>
    </row>
    <row r="676" spans="5:15" x14ac:dyDescent="0.3">
      <c r="E676">
        <v>0</v>
      </c>
      <c r="G676">
        <v>0</v>
      </c>
      <c r="I676">
        <v>0</v>
      </c>
      <c r="K676">
        <v>0</v>
      </c>
      <c r="M676">
        <v>0</v>
      </c>
      <c r="O676">
        <v>0</v>
      </c>
    </row>
    <row r="677" spans="5:15" x14ac:dyDescent="0.3">
      <c r="E677">
        <v>0</v>
      </c>
      <c r="G677">
        <v>0</v>
      </c>
      <c r="I677">
        <v>0</v>
      </c>
      <c r="K677">
        <v>0</v>
      </c>
      <c r="M677">
        <v>0</v>
      </c>
      <c r="O677">
        <v>0</v>
      </c>
    </row>
    <row r="678" spans="5:15" x14ac:dyDescent="0.3">
      <c r="E678">
        <v>0</v>
      </c>
      <c r="G678">
        <v>0</v>
      </c>
      <c r="I678">
        <v>0</v>
      </c>
      <c r="K678">
        <v>0</v>
      </c>
      <c r="M678">
        <v>0</v>
      </c>
      <c r="O678">
        <v>0</v>
      </c>
    </row>
    <row r="679" spans="5:15" x14ac:dyDescent="0.3">
      <c r="E679">
        <v>0</v>
      </c>
      <c r="G679">
        <v>0</v>
      </c>
      <c r="I679">
        <v>0</v>
      </c>
      <c r="K679">
        <v>0</v>
      </c>
      <c r="M679">
        <v>0</v>
      </c>
      <c r="O679">
        <v>0</v>
      </c>
    </row>
    <row r="680" spans="5:15" x14ac:dyDescent="0.3">
      <c r="E680">
        <v>0</v>
      </c>
      <c r="G680">
        <v>0</v>
      </c>
      <c r="I680">
        <v>0</v>
      </c>
      <c r="K680">
        <v>0</v>
      </c>
      <c r="M680">
        <v>0</v>
      </c>
      <c r="O680">
        <v>0</v>
      </c>
    </row>
    <row r="681" spans="5:15" x14ac:dyDescent="0.3">
      <c r="E681">
        <v>0</v>
      </c>
      <c r="G681">
        <v>0</v>
      </c>
      <c r="I681">
        <v>0</v>
      </c>
      <c r="K681">
        <v>0</v>
      </c>
      <c r="M681">
        <v>0</v>
      </c>
      <c r="O681">
        <v>0</v>
      </c>
    </row>
    <row r="682" spans="5:15" x14ac:dyDescent="0.3">
      <c r="E682">
        <v>0</v>
      </c>
      <c r="G682">
        <v>0</v>
      </c>
      <c r="I682">
        <v>0</v>
      </c>
      <c r="K682">
        <v>0</v>
      </c>
      <c r="M682">
        <v>0</v>
      </c>
      <c r="O682">
        <v>0</v>
      </c>
    </row>
    <row r="683" spans="5:15" x14ac:dyDescent="0.3">
      <c r="E683">
        <v>0</v>
      </c>
      <c r="G683">
        <v>0</v>
      </c>
      <c r="I683">
        <v>0</v>
      </c>
      <c r="K683">
        <v>0</v>
      </c>
      <c r="M683">
        <v>0</v>
      </c>
      <c r="O683">
        <v>0</v>
      </c>
    </row>
    <row r="684" spans="5:15" x14ac:dyDescent="0.3">
      <c r="E684">
        <v>0</v>
      </c>
      <c r="G684">
        <v>0</v>
      </c>
      <c r="I684">
        <v>0</v>
      </c>
      <c r="K684">
        <v>0</v>
      </c>
      <c r="M684">
        <v>0</v>
      </c>
      <c r="O684">
        <v>0</v>
      </c>
    </row>
    <row r="685" spans="5:15" x14ac:dyDescent="0.3">
      <c r="E685">
        <v>0</v>
      </c>
      <c r="G685">
        <v>0</v>
      </c>
      <c r="I685">
        <v>0</v>
      </c>
      <c r="K685">
        <v>0</v>
      </c>
      <c r="M685">
        <v>0</v>
      </c>
      <c r="O685">
        <v>0</v>
      </c>
    </row>
    <row r="686" spans="5:15" x14ac:dyDescent="0.3">
      <c r="E686">
        <v>0</v>
      </c>
      <c r="G686">
        <v>0</v>
      </c>
      <c r="I686">
        <v>0</v>
      </c>
      <c r="K686">
        <v>0</v>
      </c>
      <c r="M686">
        <v>0</v>
      </c>
      <c r="O686">
        <v>0</v>
      </c>
    </row>
    <row r="687" spans="5:15" x14ac:dyDescent="0.3">
      <c r="E687">
        <v>0</v>
      </c>
      <c r="G687">
        <v>0</v>
      </c>
      <c r="I687">
        <v>0</v>
      </c>
      <c r="K687">
        <v>0</v>
      </c>
      <c r="M687">
        <v>0</v>
      </c>
      <c r="O687">
        <v>0</v>
      </c>
    </row>
    <row r="688" spans="5:15" x14ac:dyDescent="0.3">
      <c r="E688">
        <v>0</v>
      </c>
      <c r="G688">
        <v>0</v>
      </c>
      <c r="I688">
        <v>0</v>
      </c>
      <c r="K688">
        <v>0</v>
      </c>
      <c r="M688">
        <v>0</v>
      </c>
      <c r="O688">
        <v>0</v>
      </c>
    </row>
    <row r="689" spans="5:15" x14ac:dyDescent="0.3">
      <c r="E689">
        <v>0</v>
      </c>
      <c r="G689">
        <v>0</v>
      </c>
      <c r="I689">
        <v>0</v>
      </c>
      <c r="K689">
        <v>0</v>
      </c>
      <c r="M689">
        <v>0</v>
      </c>
      <c r="O689">
        <v>0</v>
      </c>
    </row>
    <row r="690" spans="5:15" x14ac:dyDescent="0.3">
      <c r="E690">
        <v>0</v>
      </c>
      <c r="G690">
        <v>0</v>
      </c>
      <c r="I690">
        <v>0</v>
      </c>
      <c r="K690">
        <v>0</v>
      </c>
      <c r="M690">
        <v>0</v>
      </c>
      <c r="O690">
        <v>0</v>
      </c>
    </row>
    <row r="691" spans="5:15" x14ac:dyDescent="0.3">
      <c r="E691">
        <v>0</v>
      </c>
      <c r="G691">
        <v>0</v>
      </c>
      <c r="I691">
        <v>0</v>
      </c>
      <c r="K691">
        <v>0</v>
      </c>
      <c r="M691">
        <v>0</v>
      </c>
      <c r="O691">
        <v>0</v>
      </c>
    </row>
    <row r="692" spans="5:15" x14ac:dyDescent="0.3">
      <c r="E692">
        <v>0</v>
      </c>
      <c r="G692">
        <v>0</v>
      </c>
      <c r="I692">
        <v>0</v>
      </c>
      <c r="K692">
        <v>0</v>
      </c>
      <c r="M692">
        <v>0</v>
      </c>
      <c r="O692">
        <v>0</v>
      </c>
    </row>
    <row r="693" spans="5:15" x14ac:dyDescent="0.3">
      <c r="E693">
        <v>0</v>
      </c>
      <c r="G693">
        <v>0</v>
      </c>
      <c r="I693">
        <v>0</v>
      </c>
      <c r="K693">
        <v>0</v>
      </c>
      <c r="M693">
        <v>0</v>
      </c>
      <c r="O693">
        <v>0</v>
      </c>
    </row>
    <row r="694" spans="5:15" x14ac:dyDescent="0.3">
      <c r="E694">
        <v>0</v>
      </c>
      <c r="G694">
        <v>0</v>
      </c>
      <c r="I694">
        <v>0</v>
      </c>
      <c r="K694">
        <v>0</v>
      </c>
      <c r="M694">
        <v>0</v>
      </c>
      <c r="O694">
        <v>0</v>
      </c>
    </row>
    <row r="695" spans="5:15" x14ac:dyDescent="0.3">
      <c r="E695">
        <v>0</v>
      </c>
      <c r="G695">
        <v>0</v>
      </c>
      <c r="I695">
        <v>0</v>
      </c>
      <c r="K695">
        <v>0</v>
      </c>
      <c r="M695">
        <v>0</v>
      </c>
      <c r="O695">
        <v>0</v>
      </c>
    </row>
    <row r="696" spans="5:15" x14ac:dyDescent="0.3">
      <c r="E696">
        <v>0</v>
      </c>
      <c r="G696">
        <v>0</v>
      </c>
      <c r="I696">
        <v>0</v>
      </c>
      <c r="K696">
        <v>0</v>
      </c>
      <c r="M696">
        <v>0</v>
      </c>
      <c r="O696">
        <v>0</v>
      </c>
    </row>
    <row r="697" spans="5:15" x14ac:dyDescent="0.3">
      <c r="E697">
        <v>0</v>
      </c>
      <c r="G697">
        <v>0</v>
      </c>
      <c r="I697">
        <v>0</v>
      </c>
      <c r="K697">
        <v>0</v>
      </c>
      <c r="M697">
        <v>0</v>
      </c>
      <c r="O697">
        <v>0</v>
      </c>
    </row>
    <row r="698" spans="5:15" x14ac:dyDescent="0.3">
      <c r="E698">
        <v>0</v>
      </c>
      <c r="G698">
        <v>0</v>
      </c>
      <c r="I698">
        <v>0</v>
      </c>
      <c r="K698">
        <v>0</v>
      </c>
      <c r="M698">
        <v>0</v>
      </c>
      <c r="O698">
        <v>0</v>
      </c>
    </row>
    <row r="699" spans="5:15" x14ac:dyDescent="0.3">
      <c r="E699">
        <v>0</v>
      </c>
      <c r="G699">
        <v>0</v>
      </c>
      <c r="I699">
        <v>0</v>
      </c>
      <c r="K699">
        <v>0</v>
      </c>
      <c r="M699">
        <v>0</v>
      </c>
      <c r="O699">
        <v>0</v>
      </c>
    </row>
    <row r="700" spans="5:15" x14ac:dyDescent="0.3">
      <c r="E700">
        <v>0</v>
      </c>
      <c r="G700">
        <v>0</v>
      </c>
      <c r="I700">
        <v>0</v>
      </c>
      <c r="K700">
        <v>0</v>
      </c>
      <c r="M700">
        <v>0</v>
      </c>
      <c r="O700">
        <v>0</v>
      </c>
    </row>
    <row r="701" spans="5:15" x14ac:dyDescent="0.3">
      <c r="E701">
        <v>0</v>
      </c>
      <c r="G701">
        <v>0</v>
      </c>
      <c r="I701">
        <v>0</v>
      </c>
      <c r="K701">
        <v>0</v>
      </c>
      <c r="M701">
        <v>0</v>
      </c>
      <c r="O701">
        <v>0</v>
      </c>
    </row>
    <row r="702" spans="5:15" x14ac:dyDescent="0.3">
      <c r="E702">
        <v>0</v>
      </c>
      <c r="G702">
        <v>0</v>
      </c>
      <c r="I702">
        <v>0</v>
      </c>
      <c r="K702">
        <v>0</v>
      </c>
      <c r="M702">
        <v>0</v>
      </c>
      <c r="O702">
        <v>0</v>
      </c>
    </row>
    <row r="703" spans="5:15" x14ac:dyDescent="0.3">
      <c r="E703">
        <v>0</v>
      </c>
      <c r="G703">
        <v>0</v>
      </c>
      <c r="I703">
        <v>0</v>
      </c>
      <c r="K703">
        <v>0</v>
      </c>
      <c r="M703">
        <v>0</v>
      </c>
      <c r="O703">
        <v>0</v>
      </c>
    </row>
    <row r="704" spans="5:15" x14ac:dyDescent="0.3">
      <c r="E704">
        <v>0</v>
      </c>
      <c r="G704">
        <v>0</v>
      </c>
      <c r="I704">
        <v>0</v>
      </c>
      <c r="K704">
        <v>0</v>
      </c>
      <c r="M704">
        <v>0</v>
      </c>
      <c r="O704">
        <v>0</v>
      </c>
    </row>
    <row r="705" spans="5:15" x14ac:dyDescent="0.3">
      <c r="E705">
        <v>0</v>
      </c>
      <c r="G705">
        <v>0</v>
      </c>
      <c r="I705">
        <v>0</v>
      </c>
      <c r="K705">
        <v>0</v>
      </c>
      <c r="M705">
        <v>0</v>
      </c>
      <c r="O705">
        <v>0</v>
      </c>
    </row>
    <row r="706" spans="5:15" x14ac:dyDescent="0.3">
      <c r="E706">
        <v>0</v>
      </c>
      <c r="G706">
        <v>0</v>
      </c>
      <c r="I706">
        <v>0</v>
      </c>
      <c r="K706">
        <v>0</v>
      </c>
      <c r="M706">
        <v>0</v>
      </c>
      <c r="O706">
        <v>0</v>
      </c>
    </row>
    <row r="707" spans="5:15" x14ac:dyDescent="0.3">
      <c r="E707">
        <v>0</v>
      </c>
      <c r="G707">
        <v>0</v>
      </c>
      <c r="I707">
        <v>0</v>
      </c>
      <c r="K707">
        <v>0</v>
      </c>
      <c r="M707">
        <v>0</v>
      </c>
      <c r="O707">
        <v>0</v>
      </c>
    </row>
    <row r="708" spans="5:15" x14ac:dyDescent="0.3">
      <c r="E708">
        <v>0</v>
      </c>
      <c r="G708">
        <v>0</v>
      </c>
      <c r="I708">
        <v>0</v>
      </c>
      <c r="K708">
        <v>0</v>
      </c>
      <c r="M708">
        <v>0</v>
      </c>
      <c r="O708">
        <v>0</v>
      </c>
    </row>
    <row r="709" spans="5:15" x14ac:dyDescent="0.3">
      <c r="E709">
        <v>0</v>
      </c>
      <c r="G709">
        <v>0</v>
      </c>
      <c r="I709">
        <v>0</v>
      </c>
      <c r="K709">
        <v>0</v>
      </c>
      <c r="M709">
        <v>0</v>
      </c>
      <c r="O709">
        <v>0</v>
      </c>
    </row>
    <row r="710" spans="5:15" x14ac:dyDescent="0.3">
      <c r="E710">
        <v>0</v>
      </c>
      <c r="G710">
        <v>0</v>
      </c>
      <c r="I710">
        <v>0</v>
      </c>
      <c r="K710">
        <v>0</v>
      </c>
      <c r="M710">
        <v>0</v>
      </c>
      <c r="O710">
        <v>0</v>
      </c>
    </row>
    <row r="711" spans="5:15" x14ac:dyDescent="0.3">
      <c r="E711">
        <v>0</v>
      </c>
      <c r="G711">
        <v>0</v>
      </c>
      <c r="I711">
        <v>0</v>
      </c>
      <c r="K711">
        <v>0</v>
      </c>
      <c r="M711">
        <v>0</v>
      </c>
      <c r="O711">
        <v>0</v>
      </c>
    </row>
    <row r="712" spans="5:15" x14ac:dyDescent="0.3">
      <c r="E712">
        <v>0</v>
      </c>
      <c r="G712">
        <v>0</v>
      </c>
      <c r="I712">
        <v>0</v>
      </c>
      <c r="K712">
        <v>0</v>
      </c>
      <c r="M712">
        <v>0</v>
      </c>
      <c r="O712">
        <v>0</v>
      </c>
    </row>
    <row r="713" spans="5:15" x14ac:dyDescent="0.3">
      <c r="E713">
        <v>0</v>
      </c>
      <c r="G713">
        <v>0</v>
      </c>
      <c r="I713">
        <v>0</v>
      </c>
      <c r="K713">
        <v>0</v>
      </c>
      <c r="M713">
        <v>0</v>
      </c>
      <c r="O713">
        <v>0</v>
      </c>
    </row>
    <row r="714" spans="5:15" x14ac:dyDescent="0.3">
      <c r="E714">
        <v>0</v>
      </c>
      <c r="G714">
        <v>0</v>
      </c>
      <c r="I714">
        <v>0</v>
      </c>
      <c r="K714">
        <v>0</v>
      </c>
      <c r="M714">
        <v>0</v>
      </c>
      <c r="O714">
        <v>0</v>
      </c>
    </row>
    <row r="715" spans="5:15" x14ac:dyDescent="0.3">
      <c r="E715">
        <v>0</v>
      </c>
      <c r="G715">
        <v>0</v>
      </c>
      <c r="I715">
        <v>0</v>
      </c>
      <c r="K715">
        <v>0</v>
      </c>
      <c r="M715">
        <v>0</v>
      </c>
      <c r="O715">
        <v>0</v>
      </c>
    </row>
    <row r="716" spans="5:15" x14ac:dyDescent="0.3">
      <c r="E716">
        <v>0</v>
      </c>
      <c r="G716">
        <v>0</v>
      </c>
      <c r="I716">
        <v>0</v>
      </c>
      <c r="K716">
        <v>0</v>
      </c>
      <c r="M716">
        <v>0</v>
      </c>
      <c r="O716">
        <v>0</v>
      </c>
    </row>
    <row r="717" spans="5:15" x14ac:dyDescent="0.3">
      <c r="E717">
        <v>0</v>
      </c>
      <c r="G717">
        <v>0</v>
      </c>
      <c r="I717">
        <v>0</v>
      </c>
      <c r="K717">
        <v>0</v>
      </c>
      <c r="M717">
        <v>0</v>
      </c>
      <c r="O717">
        <v>0</v>
      </c>
    </row>
    <row r="718" spans="5:15" x14ac:dyDescent="0.3">
      <c r="E718">
        <v>0</v>
      </c>
      <c r="G718">
        <v>0</v>
      </c>
      <c r="I718">
        <v>0</v>
      </c>
      <c r="K718">
        <v>0</v>
      </c>
      <c r="M718">
        <v>0</v>
      </c>
      <c r="O718">
        <v>0</v>
      </c>
    </row>
    <row r="719" spans="5:15" x14ac:dyDescent="0.3">
      <c r="E719">
        <v>0</v>
      </c>
      <c r="G719">
        <v>0</v>
      </c>
      <c r="I719">
        <v>0</v>
      </c>
      <c r="K719">
        <v>0</v>
      </c>
      <c r="M719">
        <v>0</v>
      </c>
      <c r="O719">
        <v>0</v>
      </c>
    </row>
    <row r="720" spans="5:15" x14ac:dyDescent="0.3">
      <c r="E720">
        <v>0</v>
      </c>
      <c r="G720">
        <v>0</v>
      </c>
      <c r="I720">
        <v>0</v>
      </c>
      <c r="K720">
        <v>0</v>
      </c>
      <c r="M720">
        <v>0</v>
      </c>
      <c r="O720">
        <v>0</v>
      </c>
    </row>
    <row r="721" spans="5:15" x14ac:dyDescent="0.3">
      <c r="E721">
        <v>0</v>
      </c>
      <c r="G721">
        <v>0</v>
      </c>
      <c r="I721">
        <v>0</v>
      </c>
      <c r="K721">
        <v>0</v>
      </c>
      <c r="M721">
        <v>0</v>
      </c>
      <c r="O721">
        <v>0</v>
      </c>
    </row>
    <row r="722" spans="5:15" x14ac:dyDescent="0.3">
      <c r="E722">
        <v>0</v>
      </c>
      <c r="G722">
        <v>0</v>
      </c>
      <c r="I722">
        <v>0</v>
      </c>
      <c r="K722">
        <v>0</v>
      </c>
      <c r="M722">
        <v>0</v>
      </c>
      <c r="O722">
        <v>0</v>
      </c>
    </row>
    <row r="723" spans="5:15" x14ac:dyDescent="0.3">
      <c r="E723">
        <v>0</v>
      </c>
      <c r="G723">
        <v>0</v>
      </c>
      <c r="I723">
        <v>0</v>
      </c>
      <c r="K723">
        <v>0</v>
      </c>
      <c r="M723">
        <v>0</v>
      </c>
      <c r="O723">
        <v>0</v>
      </c>
    </row>
    <row r="724" spans="5:15" x14ac:dyDescent="0.3">
      <c r="E724">
        <v>0</v>
      </c>
      <c r="G724">
        <v>0</v>
      </c>
      <c r="I724">
        <v>0</v>
      </c>
      <c r="K724">
        <v>0</v>
      </c>
      <c r="M724">
        <v>0</v>
      </c>
      <c r="O724">
        <v>0</v>
      </c>
    </row>
    <row r="725" spans="5:15" x14ac:dyDescent="0.3">
      <c r="E725">
        <v>0</v>
      </c>
      <c r="G725">
        <v>0</v>
      </c>
      <c r="I725">
        <v>0</v>
      </c>
      <c r="K725">
        <v>0</v>
      </c>
      <c r="M725">
        <v>0</v>
      </c>
      <c r="O725">
        <v>0</v>
      </c>
    </row>
    <row r="726" spans="5:15" x14ac:dyDescent="0.3">
      <c r="E726">
        <v>0</v>
      </c>
      <c r="G726">
        <v>0</v>
      </c>
      <c r="I726">
        <v>0</v>
      </c>
      <c r="K726">
        <v>0</v>
      </c>
      <c r="M726">
        <v>0</v>
      </c>
      <c r="O726">
        <v>0</v>
      </c>
    </row>
    <row r="727" spans="5:15" x14ac:dyDescent="0.3">
      <c r="E727">
        <v>0</v>
      </c>
      <c r="G727">
        <v>0</v>
      </c>
      <c r="I727">
        <v>0</v>
      </c>
      <c r="K727">
        <v>0</v>
      </c>
      <c r="M727">
        <v>0</v>
      </c>
      <c r="O727">
        <v>0</v>
      </c>
    </row>
    <row r="728" spans="5:15" x14ac:dyDescent="0.3">
      <c r="E728">
        <v>0</v>
      </c>
      <c r="G728">
        <v>0</v>
      </c>
      <c r="I728">
        <v>0</v>
      </c>
      <c r="K728">
        <v>0</v>
      </c>
      <c r="M728">
        <v>0</v>
      </c>
      <c r="O728">
        <v>0</v>
      </c>
    </row>
    <row r="729" spans="5:15" x14ac:dyDescent="0.3">
      <c r="E729">
        <v>0</v>
      </c>
      <c r="G729">
        <v>0</v>
      </c>
      <c r="I729">
        <v>0</v>
      </c>
      <c r="K729">
        <v>0</v>
      </c>
      <c r="M729">
        <v>0</v>
      </c>
      <c r="O729">
        <v>0</v>
      </c>
    </row>
    <row r="730" spans="5:15" x14ac:dyDescent="0.3">
      <c r="E730">
        <v>0</v>
      </c>
      <c r="G730">
        <v>0</v>
      </c>
      <c r="I730">
        <v>0</v>
      </c>
      <c r="K730">
        <v>0</v>
      </c>
      <c r="M730">
        <v>0</v>
      </c>
      <c r="O730">
        <v>0</v>
      </c>
    </row>
    <row r="731" spans="5:15" x14ac:dyDescent="0.3">
      <c r="E731">
        <v>0</v>
      </c>
      <c r="G731">
        <v>0</v>
      </c>
      <c r="I731">
        <v>0</v>
      </c>
      <c r="K731">
        <v>0</v>
      </c>
      <c r="M731">
        <v>0</v>
      </c>
      <c r="O731">
        <v>0</v>
      </c>
    </row>
    <row r="732" spans="5:15" x14ac:dyDescent="0.3">
      <c r="E732">
        <v>0</v>
      </c>
      <c r="G732">
        <v>0</v>
      </c>
      <c r="I732">
        <v>0</v>
      </c>
      <c r="K732">
        <v>0</v>
      </c>
      <c r="M732">
        <v>0</v>
      </c>
      <c r="O732">
        <v>0</v>
      </c>
    </row>
    <row r="733" spans="5:15" x14ac:dyDescent="0.3">
      <c r="E733">
        <v>0</v>
      </c>
      <c r="G733">
        <v>0</v>
      </c>
      <c r="I733">
        <v>0</v>
      </c>
      <c r="K733">
        <v>0</v>
      </c>
      <c r="M733">
        <v>0</v>
      </c>
      <c r="O733">
        <v>0</v>
      </c>
    </row>
    <row r="734" spans="5:15" x14ac:dyDescent="0.3">
      <c r="E734">
        <v>0</v>
      </c>
      <c r="G734">
        <v>0</v>
      </c>
      <c r="I734">
        <v>0</v>
      </c>
      <c r="K734">
        <v>0</v>
      </c>
      <c r="M734">
        <v>0</v>
      </c>
      <c r="O734">
        <v>0</v>
      </c>
    </row>
    <row r="735" spans="5:15" x14ac:dyDescent="0.3">
      <c r="E735">
        <v>0</v>
      </c>
      <c r="G735">
        <v>0</v>
      </c>
      <c r="I735">
        <v>0</v>
      </c>
      <c r="K735">
        <v>0</v>
      </c>
      <c r="M735">
        <v>0</v>
      </c>
      <c r="O735">
        <v>0</v>
      </c>
    </row>
    <row r="736" spans="5:15" x14ac:dyDescent="0.3">
      <c r="E736">
        <v>0</v>
      </c>
      <c r="G736">
        <v>0</v>
      </c>
      <c r="I736">
        <v>0</v>
      </c>
      <c r="K736">
        <v>0</v>
      </c>
      <c r="M736">
        <v>0</v>
      </c>
      <c r="O736">
        <v>0</v>
      </c>
    </row>
    <row r="737" spans="5:15" x14ac:dyDescent="0.3">
      <c r="E737">
        <v>0</v>
      </c>
      <c r="G737">
        <v>0</v>
      </c>
      <c r="I737">
        <v>0</v>
      </c>
      <c r="K737">
        <v>0</v>
      </c>
      <c r="M737">
        <v>0</v>
      </c>
      <c r="O737">
        <v>0</v>
      </c>
    </row>
    <row r="738" spans="5:15" x14ac:dyDescent="0.3">
      <c r="E738">
        <v>0</v>
      </c>
      <c r="G738">
        <v>0</v>
      </c>
      <c r="I738">
        <v>0</v>
      </c>
      <c r="K738">
        <v>0</v>
      </c>
      <c r="M738">
        <v>0</v>
      </c>
      <c r="O738">
        <v>0</v>
      </c>
    </row>
    <row r="739" spans="5:15" x14ac:dyDescent="0.3">
      <c r="E739">
        <v>0</v>
      </c>
      <c r="G739">
        <v>0</v>
      </c>
      <c r="I739">
        <v>0</v>
      </c>
      <c r="K739">
        <v>0</v>
      </c>
      <c r="M739">
        <v>0</v>
      </c>
      <c r="O739">
        <v>0</v>
      </c>
    </row>
    <row r="740" spans="5:15" x14ac:dyDescent="0.3">
      <c r="E740">
        <v>0</v>
      </c>
      <c r="G740">
        <v>0</v>
      </c>
      <c r="I740">
        <v>0</v>
      </c>
      <c r="K740">
        <v>0</v>
      </c>
      <c r="M740">
        <v>0</v>
      </c>
      <c r="O740">
        <v>0</v>
      </c>
    </row>
    <row r="741" spans="5:15" x14ac:dyDescent="0.3">
      <c r="E741">
        <v>0</v>
      </c>
      <c r="G741">
        <v>0</v>
      </c>
      <c r="I741">
        <v>0</v>
      </c>
      <c r="K741">
        <v>0</v>
      </c>
      <c r="M741">
        <v>0</v>
      </c>
      <c r="O741">
        <v>0</v>
      </c>
    </row>
    <row r="742" spans="5:15" x14ac:dyDescent="0.3">
      <c r="E742">
        <v>0</v>
      </c>
      <c r="G742">
        <v>0</v>
      </c>
      <c r="I742">
        <v>0</v>
      </c>
      <c r="K742">
        <v>0</v>
      </c>
      <c r="M742">
        <v>0</v>
      </c>
      <c r="O742">
        <v>0</v>
      </c>
    </row>
    <row r="743" spans="5:15" x14ac:dyDescent="0.3">
      <c r="E743">
        <v>0</v>
      </c>
      <c r="G743">
        <v>0</v>
      </c>
      <c r="I743">
        <v>0</v>
      </c>
      <c r="K743">
        <v>0</v>
      </c>
      <c r="M743">
        <v>0</v>
      </c>
      <c r="O743">
        <v>0</v>
      </c>
    </row>
    <row r="744" spans="5:15" x14ac:dyDescent="0.3">
      <c r="E744">
        <v>0</v>
      </c>
      <c r="G744">
        <v>0</v>
      </c>
      <c r="I744">
        <v>0</v>
      </c>
      <c r="K744">
        <v>0</v>
      </c>
      <c r="M744">
        <v>0</v>
      </c>
      <c r="O744">
        <v>0</v>
      </c>
    </row>
    <row r="745" spans="5:15" x14ac:dyDescent="0.3">
      <c r="E745">
        <v>0</v>
      </c>
      <c r="G745">
        <v>0</v>
      </c>
      <c r="I745">
        <v>0</v>
      </c>
      <c r="K745">
        <v>0</v>
      </c>
      <c r="M745">
        <v>0</v>
      </c>
      <c r="O745">
        <v>0</v>
      </c>
    </row>
    <row r="746" spans="5:15" x14ac:dyDescent="0.3">
      <c r="E746">
        <v>0</v>
      </c>
      <c r="G746">
        <v>0</v>
      </c>
      <c r="I746">
        <v>0</v>
      </c>
      <c r="K746">
        <v>0</v>
      </c>
      <c r="M746">
        <v>0</v>
      </c>
      <c r="O746">
        <v>0</v>
      </c>
    </row>
    <row r="747" spans="5:15" x14ac:dyDescent="0.3">
      <c r="E747">
        <v>0</v>
      </c>
      <c r="G747">
        <v>0</v>
      </c>
      <c r="I747">
        <v>0</v>
      </c>
      <c r="K747">
        <v>0</v>
      </c>
      <c r="M747">
        <v>0</v>
      </c>
      <c r="O747">
        <v>0</v>
      </c>
    </row>
    <row r="748" spans="5:15" x14ac:dyDescent="0.3">
      <c r="E748">
        <v>0</v>
      </c>
      <c r="G748">
        <v>0</v>
      </c>
      <c r="I748">
        <v>0</v>
      </c>
      <c r="K748">
        <v>0</v>
      </c>
      <c r="M748">
        <v>0</v>
      </c>
      <c r="O748">
        <v>0</v>
      </c>
    </row>
    <row r="749" spans="5:15" x14ac:dyDescent="0.3">
      <c r="E749">
        <v>0</v>
      </c>
      <c r="G749">
        <v>0</v>
      </c>
      <c r="I749">
        <v>0</v>
      </c>
      <c r="K749">
        <v>0</v>
      </c>
      <c r="M749">
        <v>0</v>
      </c>
      <c r="O749">
        <v>0</v>
      </c>
    </row>
    <row r="750" spans="5:15" x14ac:dyDescent="0.3">
      <c r="E750">
        <v>0</v>
      </c>
      <c r="G750">
        <v>0</v>
      </c>
      <c r="I750">
        <v>0</v>
      </c>
      <c r="K750">
        <v>0</v>
      </c>
      <c r="M750">
        <v>0</v>
      </c>
      <c r="O750">
        <v>0</v>
      </c>
    </row>
    <row r="751" spans="5:15" x14ac:dyDescent="0.3">
      <c r="E751">
        <v>0</v>
      </c>
      <c r="G751">
        <v>0</v>
      </c>
      <c r="I751">
        <v>0</v>
      </c>
      <c r="K751">
        <v>0</v>
      </c>
      <c r="M751">
        <v>0</v>
      </c>
      <c r="O751">
        <v>0</v>
      </c>
    </row>
    <row r="752" spans="5:15" x14ac:dyDescent="0.3">
      <c r="E752">
        <v>0</v>
      </c>
      <c r="G752">
        <v>0</v>
      </c>
      <c r="I752">
        <v>0</v>
      </c>
      <c r="K752">
        <v>0</v>
      </c>
      <c r="M752">
        <v>0</v>
      </c>
      <c r="O752">
        <v>0</v>
      </c>
    </row>
    <row r="753" spans="5:15" x14ac:dyDescent="0.3">
      <c r="E753">
        <v>0</v>
      </c>
      <c r="G753">
        <v>0</v>
      </c>
      <c r="I753">
        <v>0</v>
      </c>
      <c r="K753">
        <v>0</v>
      </c>
      <c r="M753">
        <v>0</v>
      </c>
      <c r="O753">
        <v>0</v>
      </c>
    </row>
    <row r="754" spans="5:15" x14ac:dyDescent="0.3">
      <c r="E754">
        <v>0</v>
      </c>
      <c r="G754">
        <v>0</v>
      </c>
      <c r="I754">
        <v>0</v>
      </c>
      <c r="K754">
        <v>0</v>
      </c>
      <c r="M754">
        <v>0</v>
      </c>
      <c r="O754">
        <v>0</v>
      </c>
    </row>
    <row r="755" spans="5:15" x14ac:dyDescent="0.3">
      <c r="E755">
        <v>0</v>
      </c>
      <c r="G755">
        <v>0</v>
      </c>
      <c r="I755">
        <v>0</v>
      </c>
      <c r="K755">
        <v>0</v>
      </c>
      <c r="M755">
        <v>0</v>
      </c>
      <c r="O755">
        <v>0</v>
      </c>
    </row>
    <row r="756" spans="5:15" x14ac:dyDescent="0.3">
      <c r="E756">
        <v>0</v>
      </c>
      <c r="G756">
        <v>0</v>
      </c>
      <c r="I756">
        <v>0</v>
      </c>
      <c r="K756">
        <v>0</v>
      </c>
      <c r="M756">
        <v>0</v>
      </c>
      <c r="O756">
        <v>0</v>
      </c>
    </row>
    <row r="757" spans="5:15" x14ac:dyDescent="0.3">
      <c r="E757">
        <v>0</v>
      </c>
      <c r="G757">
        <v>0</v>
      </c>
      <c r="I757">
        <v>0</v>
      </c>
      <c r="K757">
        <v>0</v>
      </c>
      <c r="M757">
        <v>0</v>
      </c>
      <c r="O757">
        <v>0</v>
      </c>
    </row>
    <row r="758" spans="5:15" x14ac:dyDescent="0.3">
      <c r="E758">
        <v>0</v>
      </c>
      <c r="G758">
        <v>0</v>
      </c>
      <c r="I758">
        <v>0</v>
      </c>
      <c r="K758">
        <v>0</v>
      </c>
      <c r="M758">
        <v>0</v>
      </c>
      <c r="O758">
        <v>0</v>
      </c>
    </row>
    <row r="759" spans="5:15" x14ac:dyDescent="0.3">
      <c r="E759">
        <v>0</v>
      </c>
      <c r="G759">
        <v>0</v>
      </c>
      <c r="I759">
        <v>0</v>
      </c>
      <c r="K759">
        <v>0</v>
      </c>
      <c r="M759">
        <v>0</v>
      </c>
      <c r="O759">
        <v>0</v>
      </c>
    </row>
    <row r="760" spans="5:15" x14ac:dyDescent="0.3">
      <c r="E760">
        <v>0</v>
      </c>
      <c r="G760">
        <v>0</v>
      </c>
      <c r="I760">
        <v>0</v>
      </c>
      <c r="K760">
        <v>0</v>
      </c>
      <c r="M760">
        <v>0</v>
      </c>
      <c r="O760">
        <v>0</v>
      </c>
    </row>
    <row r="761" spans="5:15" x14ac:dyDescent="0.3">
      <c r="E761">
        <v>0</v>
      </c>
      <c r="G761">
        <v>0</v>
      </c>
      <c r="I761">
        <v>0</v>
      </c>
      <c r="K761">
        <v>0</v>
      </c>
      <c r="M761">
        <v>0</v>
      </c>
      <c r="O761">
        <v>0</v>
      </c>
    </row>
    <row r="762" spans="5:15" x14ac:dyDescent="0.3">
      <c r="E762">
        <v>0</v>
      </c>
      <c r="G762">
        <v>0</v>
      </c>
      <c r="I762">
        <v>0</v>
      </c>
      <c r="K762">
        <v>0</v>
      </c>
      <c r="M762">
        <v>0</v>
      </c>
      <c r="O762">
        <v>0</v>
      </c>
    </row>
    <row r="763" spans="5:15" x14ac:dyDescent="0.3">
      <c r="E763">
        <v>0</v>
      </c>
      <c r="G763">
        <v>0</v>
      </c>
      <c r="I763">
        <v>0</v>
      </c>
      <c r="K763">
        <v>0</v>
      </c>
      <c r="M763">
        <v>0</v>
      </c>
      <c r="O763">
        <v>0</v>
      </c>
    </row>
    <row r="764" spans="5:15" x14ac:dyDescent="0.3">
      <c r="E764">
        <v>0</v>
      </c>
      <c r="G764">
        <v>0</v>
      </c>
      <c r="I764">
        <v>0</v>
      </c>
      <c r="K764">
        <v>0</v>
      </c>
      <c r="M764">
        <v>0</v>
      </c>
      <c r="O764">
        <v>0</v>
      </c>
    </row>
    <row r="765" spans="5:15" x14ac:dyDescent="0.3">
      <c r="E765">
        <v>0</v>
      </c>
      <c r="G765">
        <v>0</v>
      </c>
      <c r="I765">
        <v>0</v>
      </c>
      <c r="K765">
        <v>0</v>
      </c>
      <c r="M765">
        <v>0</v>
      </c>
      <c r="O765">
        <v>0</v>
      </c>
    </row>
    <row r="766" spans="5:15" x14ac:dyDescent="0.3">
      <c r="E766">
        <v>0</v>
      </c>
      <c r="G766">
        <v>0</v>
      </c>
      <c r="I766">
        <v>0</v>
      </c>
      <c r="K766">
        <v>0</v>
      </c>
      <c r="M766">
        <v>0</v>
      </c>
      <c r="O766">
        <v>0</v>
      </c>
    </row>
    <row r="767" spans="5:15" x14ac:dyDescent="0.3">
      <c r="E767">
        <v>0</v>
      </c>
      <c r="G767">
        <v>0</v>
      </c>
      <c r="I767">
        <v>0</v>
      </c>
      <c r="K767">
        <v>0</v>
      </c>
      <c r="M767">
        <v>0</v>
      </c>
      <c r="O767">
        <v>0</v>
      </c>
    </row>
    <row r="768" spans="5:15" x14ac:dyDescent="0.3">
      <c r="E768">
        <v>0</v>
      </c>
      <c r="G768">
        <v>0</v>
      </c>
      <c r="I768">
        <v>0</v>
      </c>
      <c r="K768">
        <v>0</v>
      </c>
      <c r="M768">
        <v>0</v>
      </c>
      <c r="O768">
        <v>0</v>
      </c>
    </row>
    <row r="769" spans="5:15" x14ac:dyDescent="0.3">
      <c r="E769">
        <v>0</v>
      </c>
      <c r="G769">
        <v>0</v>
      </c>
      <c r="I769">
        <v>0</v>
      </c>
      <c r="K769">
        <v>0</v>
      </c>
      <c r="M769">
        <v>0</v>
      </c>
      <c r="O769">
        <v>0</v>
      </c>
    </row>
    <row r="770" spans="5:15" x14ac:dyDescent="0.3">
      <c r="E770">
        <v>0</v>
      </c>
      <c r="G770">
        <v>0</v>
      </c>
      <c r="I770">
        <v>0</v>
      </c>
      <c r="K770">
        <v>0</v>
      </c>
      <c r="M770">
        <v>0</v>
      </c>
      <c r="O770">
        <v>0</v>
      </c>
    </row>
    <row r="771" spans="5:15" x14ac:dyDescent="0.3">
      <c r="E771">
        <v>0</v>
      </c>
      <c r="G771">
        <v>0</v>
      </c>
      <c r="I771">
        <v>0</v>
      </c>
      <c r="K771">
        <v>0</v>
      </c>
      <c r="M771">
        <v>0</v>
      </c>
      <c r="O771">
        <v>0</v>
      </c>
    </row>
    <row r="772" spans="5:15" x14ac:dyDescent="0.3">
      <c r="E772">
        <v>0</v>
      </c>
      <c r="G772">
        <v>0</v>
      </c>
      <c r="I772">
        <v>0</v>
      </c>
      <c r="K772">
        <v>0</v>
      </c>
      <c r="M772">
        <v>0</v>
      </c>
      <c r="O772">
        <v>0</v>
      </c>
    </row>
    <row r="773" spans="5:15" x14ac:dyDescent="0.3">
      <c r="E773">
        <v>0</v>
      </c>
      <c r="G773">
        <v>0</v>
      </c>
      <c r="I773">
        <v>0</v>
      </c>
      <c r="K773">
        <v>0</v>
      </c>
      <c r="M773">
        <v>0</v>
      </c>
      <c r="O773">
        <v>0</v>
      </c>
    </row>
    <row r="774" spans="5:15" x14ac:dyDescent="0.3">
      <c r="E774">
        <v>0</v>
      </c>
      <c r="G774">
        <v>0</v>
      </c>
      <c r="I774">
        <v>0</v>
      </c>
      <c r="K774">
        <v>0</v>
      </c>
      <c r="M774">
        <v>0</v>
      </c>
      <c r="O774">
        <v>0</v>
      </c>
    </row>
    <row r="775" spans="5:15" x14ac:dyDescent="0.3">
      <c r="E775">
        <v>0</v>
      </c>
      <c r="G775">
        <v>0</v>
      </c>
      <c r="I775">
        <v>0</v>
      </c>
      <c r="K775">
        <v>0</v>
      </c>
      <c r="M775">
        <v>0</v>
      </c>
      <c r="O775">
        <v>0</v>
      </c>
    </row>
    <row r="776" spans="5:15" x14ac:dyDescent="0.3">
      <c r="E776">
        <v>0</v>
      </c>
      <c r="G776">
        <v>0</v>
      </c>
      <c r="I776">
        <v>0</v>
      </c>
      <c r="K776">
        <v>0</v>
      </c>
      <c r="M776">
        <v>0</v>
      </c>
      <c r="O776">
        <v>0</v>
      </c>
    </row>
    <row r="777" spans="5:15" x14ac:dyDescent="0.3">
      <c r="E777">
        <v>0</v>
      </c>
      <c r="G777">
        <v>0</v>
      </c>
      <c r="I777">
        <v>0</v>
      </c>
      <c r="K777">
        <v>0</v>
      </c>
      <c r="M777">
        <v>0</v>
      </c>
      <c r="O777">
        <v>0</v>
      </c>
    </row>
    <row r="778" spans="5:15" x14ac:dyDescent="0.3">
      <c r="E778">
        <v>0</v>
      </c>
      <c r="G778">
        <v>0</v>
      </c>
      <c r="I778">
        <v>0</v>
      </c>
      <c r="K778">
        <v>0</v>
      </c>
      <c r="M778">
        <v>0</v>
      </c>
      <c r="O778">
        <v>0</v>
      </c>
    </row>
    <row r="779" spans="5:15" x14ac:dyDescent="0.3">
      <c r="E779">
        <v>0</v>
      </c>
      <c r="G779">
        <v>0</v>
      </c>
      <c r="I779">
        <v>0</v>
      </c>
      <c r="K779">
        <v>0</v>
      </c>
      <c r="M779">
        <v>0</v>
      </c>
      <c r="O779">
        <v>0</v>
      </c>
    </row>
    <row r="780" spans="5:15" x14ac:dyDescent="0.3">
      <c r="E780">
        <v>0</v>
      </c>
      <c r="G780">
        <v>0</v>
      </c>
      <c r="I780">
        <v>0</v>
      </c>
      <c r="K780">
        <v>0</v>
      </c>
      <c r="M780">
        <v>0</v>
      </c>
      <c r="O780">
        <v>0</v>
      </c>
    </row>
    <row r="781" spans="5:15" x14ac:dyDescent="0.3">
      <c r="E781">
        <v>0</v>
      </c>
      <c r="G781">
        <v>0</v>
      </c>
      <c r="I781">
        <v>0</v>
      </c>
      <c r="K781">
        <v>0</v>
      </c>
      <c r="M781">
        <v>0</v>
      </c>
      <c r="O781">
        <v>0</v>
      </c>
    </row>
    <row r="782" spans="5:15" x14ac:dyDescent="0.3">
      <c r="E782">
        <v>0</v>
      </c>
      <c r="G782">
        <v>0</v>
      </c>
      <c r="I782">
        <v>0</v>
      </c>
      <c r="K782">
        <v>0</v>
      </c>
      <c r="M782">
        <v>0</v>
      </c>
      <c r="O782">
        <v>0</v>
      </c>
    </row>
    <row r="783" spans="5:15" x14ac:dyDescent="0.3">
      <c r="E783">
        <v>0</v>
      </c>
      <c r="G783">
        <v>0</v>
      </c>
      <c r="I783">
        <v>0</v>
      </c>
      <c r="K783">
        <v>0</v>
      </c>
      <c r="M783">
        <v>0</v>
      </c>
      <c r="O783">
        <v>0</v>
      </c>
    </row>
    <row r="784" spans="5:15" x14ac:dyDescent="0.3">
      <c r="E784">
        <v>0</v>
      </c>
      <c r="G784">
        <v>0</v>
      </c>
      <c r="I784">
        <v>0</v>
      </c>
      <c r="K784">
        <v>0</v>
      </c>
      <c r="M784">
        <v>0</v>
      </c>
      <c r="O784">
        <v>0</v>
      </c>
    </row>
    <row r="785" spans="5:15" x14ac:dyDescent="0.3">
      <c r="E785">
        <v>0</v>
      </c>
      <c r="G785">
        <v>0</v>
      </c>
      <c r="I785">
        <v>0</v>
      </c>
      <c r="K785">
        <v>0</v>
      </c>
      <c r="M785">
        <v>0</v>
      </c>
      <c r="O785">
        <v>0</v>
      </c>
    </row>
    <row r="786" spans="5:15" x14ac:dyDescent="0.3">
      <c r="E786">
        <v>0</v>
      </c>
      <c r="G786">
        <v>0</v>
      </c>
      <c r="I786">
        <v>0</v>
      </c>
      <c r="K786">
        <v>0</v>
      </c>
      <c r="M786">
        <v>0</v>
      </c>
      <c r="O786">
        <v>0</v>
      </c>
    </row>
    <row r="787" spans="5:15" x14ac:dyDescent="0.3">
      <c r="E787">
        <v>0</v>
      </c>
      <c r="G787">
        <v>0</v>
      </c>
      <c r="I787">
        <v>0</v>
      </c>
      <c r="K787">
        <v>0</v>
      </c>
      <c r="M787">
        <v>0</v>
      </c>
      <c r="O787">
        <v>0</v>
      </c>
    </row>
    <row r="788" spans="5:15" x14ac:dyDescent="0.3">
      <c r="E788">
        <v>0</v>
      </c>
      <c r="G788">
        <v>0</v>
      </c>
      <c r="I788">
        <v>0</v>
      </c>
      <c r="K788">
        <v>0</v>
      </c>
      <c r="M788">
        <v>0</v>
      </c>
      <c r="O788">
        <v>0</v>
      </c>
    </row>
    <row r="789" spans="5:15" x14ac:dyDescent="0.3">
      <c r="E789">
        <v>0</v>
      </c>
      <c r="G789">
        <v>0</v>
      </c>
      <c r="I789">
        <v>0</v>
      </c>
      <c r="K789">
        <v>0</v>
      </c>
      <c r="M789">
        <v>0</v>
      </c>
      <c r="O789">
        <v>0</v>
      </c>
    </row>
    <row r="790" spans="5:15" x14ac:dyDescent="0.3">
      <c r="E790">
        <v>0</v>
      </c>
      <c r="G790">
        <v>0</v>
      </c>
      <c r="I790">
        <v>0</v>
      </c>
      <c r="K790">
        <v>0</v>
      </c>
      <c r="M790">
        <v>0</v>
      </c>
      <c r="O790">
        <v>0</v>
      </c>
    </row>
    <row r="791" spans="5:15" x14ac:dyDescent="0.3">
      <c r="E791">
        <v>0</v>
      </c>
      <c r="G791">
        <v>0</v>
      </c>
      <c r="I791">
        <v>0</v>
      </c>
      <c r="K791">
        <v>0</v>
      </c>
      <c r="M791">
        <v>0</v>
      </c>
      <c r="O791">
        <v>0</v>
      </c>
    </row>
    <row r="792" spans="5:15" x14ac:dyDescent="0.3">
      <c r="E792">
        <v>0</v>
      </c>
      <c r="G792">
        <v>0</v>
      </c>
      <c r="I792">
        <v>0</v>
      </c>
      <c r="K792">
        <v>0</v>
      </c>
      <c r="M792">
        <v>0</v>
      </c>
      <c r="O792">
        <v>0</v>
      </c>
    </row>
    <row r="793" spans="5:15" x14ac:dyDescent="0.3">
      <c r="E793">
        <v>0</v>
      </c>
      <c r="G793">
        <v>0</v>
      </c>
      <c r="I793">
        <v>0</v>
      </c>
      <c r="K793">
        <v>0</v>
      </c>
      <c r="M793">
        <v>0</v>
      </c>
      <c r="O793">
        <v>0</v>
      </c>
    </row>
    <row r="794" spans="5:15" x14ac:dyDescent="0.3">
      <c r="E794">
        <v>0</v>
      </c>
      <c r="G794">
        <v>0</v>
      </c>
      <c r="I794">
        <v>0</v>
      </c>
      <c r="K794">
        <v>0</v>
      </c>
      <c r="M794">
        <v>0</v>
      </c>
      <c r="O794">
        <v>0</v>
      </c>
    </row>
    <row r="795" spans="5:15" x14ac:dyDescent="0.3">
      <c r="E795">
        <v>0</v>
      </c>
      <c r="G795">
        <v>0</v>
      </c>
      <c r="I795">
        <v>0</v>
      </c>
      <c r="K795">
        <v>0</v>
      </c>
      <c r="M795">
        <v>0</v>
      </c>
      <c r="O795">
        <v>0</v>
      </c>
    </row>
    <row r="796" spans="5:15" x14ac:dyDescent="0.3">
      <c r="E796">
        <v>0</v>
      </c>
      <c r="G796">
        <v>0</v>
      </c>
      <c r="I796">
        <v>0</v>
      </c>
      <c r="K796">
        <v>0</v>
      </c>
      <c r="M796">
        <v>0</v>
      </c>
      <c r="O796">
        <v>0</v>
      </c>
    </row>
    <row r="797" spans="5:15" x14ac:dyDescent="0.3">
      <c r="E797">
        <v>0</v>
      </c>
      <c r="G797">
        <v>0</v>
      </c>
      <c r="I797">
        <v>0</v>
      </c>
      <c r="K797">
        <v>0</v>
      </c>
      <c r="M797">
        <v>0</v>
      </c>
      <c r="O797">
        <v>0</v>
      </c>
    </row>
    <row r="798" spans="5:15" x14ac:dyDescent="0.3">
      <c r="E798">
        <v>0</v>
      </c>
      <c r="G798">
        <v>0</v>
      </c>
      <c r="I798">
        <v>0</v>
      </c>
      <c r="K798">
        <v>0</v>
      </c>
      <c r="M798">
        <v>0</v>
      </c>
      <c r="O798">
        <v>0</v>
      </c>
    </row>
    <row r="799" spans="5:15" x14ac:dyDescent="0.3">
      <c r="E799">
        <v>0</v>
      </c>
      <c r="G799">
        <v>0</v>
      </c>
      <c r="I799">
        <v>0</v>
      </c>
      <c r="K799">
        <v>0</v>
      </c>
      <c r="M799">
        <v>0</v>
      </c>
      <c r="O799">
        <v>0</v>
      </c>
    </row>
    <row r="800" spans="5:15" x14ac:dyDescent="0.3">
      <c r="E800">
        <v>0</v>
      </c>
      <c r="G800">
        <v>0</v>
      </c>
      <c r="I800">
        <v>0</v>
      </c>
      <c r="K800">
        <v>0</v>
      </c>
      <c r="M800">
        <v>0</v>
      </c>
      <c r="O800">
        <v>0</v>
      </c>
    </row>
    <row r="801" spans="5:15" x14ac:dyDescent="0.3">
      <c r="E801">
        <v>0</v>
      </c>
      <c r="G801">
        <v>0</v>
      </c>
      <c r="I801">
        <v>0</v>
      </c>
      <c r="K801">
        <v>0</v>
      </c>
      <c r="M801">
        <v>0</v>
      </c>
      <c r="O801">
        <v>0</v>
      </c>
    </row>
    <row r="802" spans="5:15" x14ac:dyDescent="0.3">
      <c r="E802">
        <v>0</v>
      </c>
      <c r="G802">
        <v>0</v>
      </c>
      <c r="I802">
        <v>0</v>
      </c>
      <c r="K802">
        <v>0</v>
      </c>
      <c r="M802">
        <v>0</v>
      </c>
      <c r="O802">
        <v>0</v>
      </c>
    </row>
    <row r="803" spans="5:15" x14ac:dyDescent="0.3">
      <c r="E803">
        <v>0</v>
      </c>
      <c r="G803">
        <v>0</v>
      </c>
      <c r="I803">
        <v>0</v>
      </c>
      <c r="K803">
        <v>0</v>
      </c>
      <c r="M803">
        <v>0</v>
      </c>
      <c r="O803">
        <v>0</v>
      </c>
    </row>
    <row r="804" spans="5:15" x14ac:dyDescent="0.3">
      <c r="E804">
        <v>0</v>
      </c>
      <c r="G804">
        <v>0</v>
      </c>
      <c r="I804">
        <v>0</v>
      </c>
      <c r="K804">
        <v>0</v>
      </c>
      <c r="M804">
        <v>0</v>
      </c>
      <c r="O804">
        <v>0</v>
      </c>
    </row>
    <row r="805" spans="5:15" x14ac:dyDescent="0.3">
      <c r="E805">
        <v>0</v>
      </c>
      <c r="G805">
        <v>0</v>
      </c>
      <c r="I805">
        <v>0</v>
      </c>
      <c r="K805">
        <v>0</v>
      </c>
      <c r="M805">
        <v>0</v>
      </c>
      <c r="O805">
        <v>0</v>
      </c>
    </row>
    <row r="806" spans="5:15" x14ac:dyDescent="0.3">
      <c r="E806">
        <v>0</v>
      </c>
      <c r="G806">
        <v>0</v>
      </c>
      <c r="I806">
        <v>0</v>
      </c>
      <c r="K806">
        <v>0</v>
      </c>
      <c r="M806">
        <v>0</v>
      </c>
      <c r="O806">
        <v>0</v>
      </c>
    </row>
    <row r="807" spans="5:15" x14ac:dyDescent="0.3">
      <c r="E807">
        <v>0</v>
      </c>
      <c r="G807">
        <v>0</v>
      </c>
      <c r="I807">
        <v>0</v>
      </c>
      <c r="K807">
        <v>0</v>
      </c>
      <c r="M807">
        <v>0</v>
      </c>
      <c r="O807">
        <v>0</v>
      </c>
    </row>
    <row r="808" spans="5:15" x14ac:dyDescent="0.3">
      <c r="E808">
        <v>0</v>
      </c>
      <c r="G808">
        <v>0</v>
      </c>
      <c r="I808">
        <v>0</v>
      </c>
      <c r="K808">
        <v>0</v>
      </c>
      <c r="M808">
        <v>0</v>
      </c>
      <c r="O808">
        <v>0</v>
      </c>
    </row>
    <row r="809" spans="5:15" x14ac:dyDescent="0.3">
      <c r="E809">
        <v>0</v>
      </c>
      <c r="G809">
        <v>0</v>
      </c>
      <c r="I809">
        <v>0</v>
      </c>
      <c r="K809">
        <v>0</v>
      </c>
      <c r="M809">
        <v>0</v>
      </c>
      <c r="O809">
        <v>0</v>
      </c>
    </row>
    <row r="810" spans="5:15" x14ac:dyDescent="0.3">
      <c r="E810">
        <v>0</v>
      </c>
      <c r="G810">
        <v>0</v>
      </c>
      <c r="I810">
        <v>0</v>
      </c>
      <c r="K810">
        <v>0</v>
      </c>
      <c r="M810">
        <v>0</v>
      </c>
      <c r="O810">
        <v>0</v>
      </c>
    </row>
    <row r="811" spans="5:15" x14ac:dyDescent="0.3">
      <c r="E811">
        <v>0</v>
      </c>
      <c r="G811">
        <v>0</v>
      </c>
      <c r="I811">
        <v>0</v>
      </c>
      <c r="K811">
        <v>0</v>
      </c>
      <c r="M811">
        <v>0</v>
      </c>
      <c r="O811">
        <v>0</v>
      </c>
    </row>
    <row r="812" spans="5:15" x14ac:dyDescent="0.3">
      <c r="E812">
        <v>0</v>
      </c>
      <c r="G812">
        <v>0</v>
      </c>
      <c r="I812">
        <v>0</v>
      </c>
      <c r="K812">
        <v>0</v>
      </c>
      <c r="M812">
        <v>0</v>
      </c>
      <c r="O812">
        <v>0</v>
      </c>
    </row>
    <row r="813" spans="5:15" x14ac:dyDescent="0.3">
      <c r="E813">
        <v>0</v>
      </c>
      <c r="G813">
        <v>0</v>
      </c>
      <c r="I813">
        <v>0</v>
      </c>
      <c r="K813">
        <v>0</v>
      </c>
      <c r="M813">
        <v>0</v>
      </c>
      <c r="O813">
        <v>0</v>
      </c>
    </row>
    <row r="814" spans="5:15" x14ac:dyDescent="0.3">
      <c r="E814">
        <v>0</v>
      </c>
      <c r="G814">
        <v>0</v>
      </c>
      <c r="I814">
        <v>0</v>
      </c>
      <c r="K814">
        <v>0</v>
      </c>
      <c r="M814">
        <v>0</v>
      </c>
      <c r="O814">
        <v>0</v>
      </c>
    </row>
    <row r="815" spans="5:15" x14ac:dyDescent="0.3">
      <c r="E815">
        <v>0</v>
      </c>
      <c r="G815">
        <v>0</v>
      </c>
      <c r="I815">
        <v>0</v>
      </c>
      <c r="K815">
        <v>0</v>
      </c>
      <c r="M815">
        <v>0</v>
      </c>
      <c r="O815">
        <v>0</v>
      </c>
    </row>
    <row r="816" spans="5:15" x14ac:dyDescent="0.3">
      <c r="E816">
        <v>0</v>
      </c>
      <c r="G816">
        <v>0</v>
      </c>
      <c r="I816">
        <v>0</v>
      </c>
      <c r="K816">
        <v>0</v>
      </c>
      <c r="M816">
        <v>0</v>
      </c>
      <c r="O816">
        <v>0</v>
      </c>
    </row>
    <row r="817" spans="5:15" x14ac:dyDescent="0.3">
      <c r="E817">
        <v>0</v>
      </c>
      <c r="G817">
        <v>0</v>
      </c>
      <c r="I817">
        <v>0</v>
      </c>
      <c r="K817">
        <v>0</v>
      </c>
      <c r="M817">
        <v>0</v>
      </c>
      <c r="O817">
        <v>0</v>
      </c>
    </row>
    <row r="818" spans="5:15" x14ac:dyDescent="0.3">
      <c r="E818">
        <v>0</v>
      </c>
      <c r="G818">
        <v>0</v>
      </c>
      <c r="I818">
        <v>0</v>
      </c>
      <c r="K818">
        <v>0</v>
      </c>
      <c r="M818">
        <v>0</v>
      </c>
      <c r="O818">
        <v>0</v>
      </c>
    </row>
    <row r="819" spans="5:15" x14ac:dyDescent="0.3">
      <c r="E819">
        <v>0</v>
      </c>
      <c r="G819">
        <v>0</v>
      </c>
      <c r="I819">
        <v>0</v>
      </c>
      <c r="K819">
        <v>0</v>
      </c>
      <c r="M819">
        <v>0</v>
      </c>
      <c r="O819">
        <v>0</v>
      </c>
    </row>
    <row r="820" spans="5:15" x14ac:dyDescent="0.3">
      <c r="E820">
        <v>0</v>
      </c>
      <c r="G820">
        <v>0</v>
      </c>
      <c r="I820">
        <v>0</v>
      </c>
      <c r="K820">
        <v>0</v>
      </c>
      <c r="M820">
        <v>0</v>
      </c>
      <c r="O820">
        <v>0</v>
      </c>
    </row>
    <row r="821" spans="5:15" x14ac:dyDescent="0.3">
      <c r="E821">
        <v>0</v>
      </c>
      <c r="G821">
        <v>0</v>
      </c>
      <c r="I821">
        <v>0</v>
      </c>
      <c r="K821">
        <v>0</v>
      </c>
      <c r="M821">
        <v>0</v>
      </c>
      <c r="O821">
        <v>0</v>
      </c>
    </row>
    <row r="822" spans="5:15" x14ac:dyDescent="0.3">
      <c r="E822">
        <v>0</v>
      </c>
      <c r="G822">
        <v>0</v>
      </c>
      <c r="I822">
        <v>0</v>
      </c>
      <c r="K822">
        <v>0</v>
      </c>
      <c r="M822">
        <v>0</v>
      </c>
      <c r="O822">
        <v>0</v>
      </c>
    </row>
    <row r="823" spans="5:15" x14ac:dyDescent="0.3">
      <c r="E823">
        <v>0</v>
      </c>
      <c r="G823">
        <v>0</v>
      </c>
      <c r="I823">
        <v>0</v>
      </c>
      <c r="K823">
        <v>0</v>
      </c>
      <c r="M823">
        <v>0</v>
      </c>
      <c r="O823">
        <v>0</v>
      </c>
    </row>
    <row r="824" spans="5:15" x14ac:dyDescent="0.3">
      <c r="E824">
        <v>0</v>
      </c>
      <c r="G824">
        <v>0</v>
      </c>
      <c r="I824">
        <v>0</v>
      </c>
      <c r="K824">
        <v>0</v>
      </c>
      <c r="M824">
        <v>0</v>
      </c>
      <c r="O824">
        <v>0</v>
      </c>
    </row>
    <row r="825" spans="5:15" x14ac:dyDescent="0.3">
      <c r="E825">
        <v>0</v>
      </c>
      <c r="G825">
        <v>0</v>
      </c>
      <c r="I825">
        <v>0</v>
      </c>
      <c r="K825">
        <v>0</v>
      </c>
      <c r="M825">
        <v>0</v>
      </c>
      <c r="O825">
        <v>0</v>
      </c>
    </row>
    <row r="826" spans="5:15" x14ac:dyDescent="0.3">
      <c r="E826">
        <v>0</v>
      </c>
      <c r="G826">
        <v>0</v>
      </c>
      <c r="I826">
        <v>0</v>
      </c>
      <c r="K826">
        <v>0</v>
      </c>
      <c r="M826">
        <v>0</v>
      </c>
      <c r="O826">
        <v>0</v>
      </c>
    </row>
    <row r="827" spans="5:15" x14ac:dyDescent="0.3">
      <c r="E827">
        <v>0</v>
      </c>
      <c r="G827">
        <v>0</v>
      </c>
      <c r="I827">
        <v>0</v>
      </c>
      <c r="K827">
        <v>0</v>
      </c>
      <c r="M827">
        <v>0</v>
      </c>
      <c r="O827">
        <v>0</v>
      </c>
    </row>
    <row r="828" spans="5:15" x14ac:dyDescent="0.3">
      <c r="E828">
        <v>0</v>
      </c>
      <c r="G828">
        <v>0</v>
      </c>
      <c r="I828">
        <v>0</v>
      </c>
      <c r="K828">
        <v>0</v>
      </c>
      <c r="M828">
        <v>0</v>
      </c>
      <c r="O828">
        <v>0</v>
      </c>
    </row>
    <row r="829" spans="5:15" x14ac:dyDescent="0.3">
      <c r="E829">
        <v>0</v>
      </c>
      <c r="G829">
        <v>0</v>
      </c>
      <c r="I829">
        <v>0</v>
      </c>
      <c r="K829">
        <v>0</v>
      </c>
      <c r="M829">
        <v>0</v>
      </c>
      <c r="O829">
        <v>0</v>
      </c>
    </row>
    <row r="830" spans="5:15" x14ac:dyDescent="0.3">
      <c r="E830">
        <v>0</v>
      </c>
      <c r="G830">
        <v>0</v>
      </c>
      <c r="I830">
        <v>0</v>
      </c>
      <c r="K830">
        <v>0</v>
      </c>
      <c r="M830">
        <v>0</v>
      </c>
      <c r="O830">
        <v>0</v>
      </c>
    </row>
    <row r="831" spans="5:15" x14ac:dyDescent="0.3">
      <c r="E831">
        <v>0</v>
      </c>
      <c r="G831">
        <v>0</v>
      </c>
      <c r="I831">
        <v>0</v>
      </c>
      <c r="K831">
        <v>0</v>
      </c>
      <c r="M831">
        <v>0</v>
      </c>
      <c r="O831">
        <v>0</v>
      </c>
    </row>
    <row r="832" spans="5:15" x14ac:dyDescent="0.3">
      <c r="E832">
        <v>0</v>
      </c>
      <c r="G832">
        <v>0</v>
      </c>
      <c r="I832">
        <v>0</v>
      </c>
      <c r="K832">
        <v>0</v>
      </c>
      <c r="M832">
        <v>0</v>
      </c>
      <c r="O832">
        <v>0</v>
      </c>
    </row>
    <row r="833" spans="5:15" x14ac:dyDescent="0.3">
      <c r="E833">
        <v>0</v>
      </c>
      <c r="G833">
        <v>0</v>
      </c>
      <c r="I833">
        <v>0</v>
      </c>
      <c r="K833">
        <v>0</v>
      </c>
      <c r="M833">
        <v>0</v>
      </c>
      <c r="O833">
        <v>0</v>
      </c>
    </row>
    <row r="834" spans="5:15" x14ac:dyDescent="0.3">
      <c r="E834">
        <v>0</v>
      </c>
      <c r="G834">
        <v>0</v>
      </c>
      <c r="I834">
        <v>0</v>
      </c>
      <c r="K834">
        <v>0</v>
      </c>
      <c r="M834">
        <v>0</v>
      </c>
      <c r="O834">
        <v>0</v>
      </c>
    </row>
    <row r="835" spans="5:15" x14ac:dyDescent="0.3">
      <c r="E835">
        <v>0</v>
      </c>
      <c r="G835">
        <v>0</v>
      </c>
      <c r="I835">
        <v>0</v>
      </c>
      <c r="K835">
        <v>0</v>
      </c>
      <c r="M835">
        <v>0</v>
      </c>
      <c r="O835">
        <v>0</v>
      </c>
    </row>
    <row r="836" spans="5:15" x14ac:dyDescent="0.3">
      <c r="E836">
        <v>0</v>
      </c>
      <c r="G836">
        <v>0</v>
      </c>
      <c r="I836">
        <v>0</v>
      </c>
      <c r="K836">
        <v>0</v>
      </c>
      <c r="M836">
        <v>0</v>
      </c>
      <c r="O836">
        <v>0</v>
      </c>
    </row>
    <row r="837" spans="5:15" x14ac:dyDescent="0.3">
      <c r="E837">
        <v>0</v>
      </c>
      <c r="G837">
        <v>0</v>
      </c>
      <c r="I837">
        <v>0</v>
      </c>
      <c r="K837">
        <v>0</v>
      </c>
      <c r="M837">
        <v>0</v>
      </c>
      <c r="O837">
        <v>0</v>
      </c>
    </row>
    <row r="838" spans="5:15" x14ac:dyDescent="0.3">
      <c r="E838">
        <v>0</v>
      </c>
      <c r="G838">
        <v>0</v>
      </c>
      <c r="I838">
        <v>0</v>
      </c>
      <c r="K838">
        <v>0</v>
      </c>
      <c r="M838">
        <v>0</v>
      </c>
      <c r="O838">
        <v>0</v>
      </c>
    </row>
    <row r="839" spans="5:15" x14ac:dyDescent="0.3">
      <c r="E839">
        <v>0</v>
      </c>
      <c r="G839">
        <v>0</v>
      </c>
      <c r="I839">
        <v>0</v>
      </c>
      <c r="K839">
        <v>0</v>
      </c>
      <c r="M839">
        <v>0</v>
      </c>
      <c r="O839">
        <v>0</v>
      </c>
    </row>
    <row r="840" spans="5:15" x14ac:dyDescent="0.3">
      <c r="E840">
        <v>0</v>
      </c>
      <c r="G840">
        <v>0</v>
      </c>
      <c r="I840">
        <v>0</v>
      </c>
      <c r="K840">
        <v>0</v>
      </c>
      <c r="M840">
        <v>0</v>
      </c>
      <c r="O840">
        <v>0</v>
      </c>
    </row>
    <row r="841" spans="5:15" x14ac:dyDescent="0.3">
      <c r="E841">
        <v>0</v>
      </c>
      <c r="G841">
        <v>0</v>
      </c>
      <c r="I841">
        <v>0</v>
      </c>
      <c r="K841">
        <v>0</v>
      </c>
      <c r="M841">
        <v>0</v>
      </c>
      <c r="O841">
        <v>0</v>
      </c>
    </row>
    <row r="842" spans="5:15" x14ac:dyDescent="0.3">
      <c r="E842">
        <v>0</v>
      </c>
      <c r="G842">
        <v>0</v>
      </c>
      <c r="I842">
        <v>0</v>
      </c>
      <c r="K842">
        <v>0</v>
      </c>
      <c r="M842">
        <v>0</v>
      </c>
      <c r="O842">
        <v>0</v>
      </c>
    </row>
    <row r="843" spans="5:15" x14ac:dyDescent="0.3">
      <c r="E843">
        <v>0</v>
      </c>
      <c r="G843">
        <v>0</v>
      </c>
      <c r="I843">
        <v>0</v>
      </c>
      <c r="K843">
        <v>0</v>
      </c>
      <c r="M843">
        <v>0</v>
      </c>
      <c r="O843">
        <v>0</v>
      </c>
    </row>
    <row r="844" spans="5:15" x14ac:dyDescent="0.3">
      <c r="E844">
        <v>0</v>
      </c>
      <c r="G844">
        <v>0</v>
      </c>
      <c r="I844">
        <v>0</v>
      </c>
      <c r="K844">
        <v>0</v>
      </c>
      <c r="M844">
        <v>0</v>
      </c>
      <c r="O844">
        <v>0</v>
      </c>
    </row>
    <row r="845" spans="5:15" x14ac:dyDescent="0.3">
      <c r="E845">
        <v>0</v>
      </c>
      <c r="G845">
        <v>0</v>
      </c>
      <c r="I845">
        <v>0</v>
      </c>
      <c r="K845">
        <v>0</v>
      </c>
      <c r="M845">
        <v>0</v>
      </c>
      <c r="O845">
        <v>0</v>
      </c>
    </row>
    <row r="846" spans="5:15" x14ac:dyDescent="0.3">
      <c r="E846">
        <v>0</v>
      </c>
      <c r="G846">
        <v>0</v>
      </c>
      <c r="I846">
        <v>0</v>
      </c>
      <c r="K846">
        <v>0</v>
      </c>
      <c r="M846">
        <v>0</v>
      </c>
      <c r="O846">
        <v>0</v>
      </c>
    </row>
    <row r="847" spans="5:15" x14ac:dyDescent="0.3">
      <c r="E847">
        <v>0</v>
      </c>
      <c r="G847">
        <v>0</v>
      </c>
      <c r="I847">
        <v>0</v>
      </c>
      <c r="K847">
        <v>0</v>
      </c>
      <c r="M847">
        <v>0</v>
      </c>
      <c r="O847">
        <v>0</v>
      </c>
    </row>
    <row r="848" spans="5:15" x14ac:dyDescent="0.3">
      <c r="E848">
        <v>0</v>
      </c>
      <c r="G848">
        <v>0</v>
      </c>
      <c r="I848">
        <v>0</v>
      </c>
      <c r="K848">
        <v>0</v>
      </c>
      <c r="M848">
        <v>0</v>
      </c>
      <c r="O848">
        <v>0</v>
      </c>
    </row>
    <row r="849" spans="5:15" x14ac:dyDescent="0.3">
      <c r="E849">
        <v>0</v>
      </c>
      <c r="G849">
        <v>0</v>
      </c>
      <c r="I849">
        <v>0</v>
      </c>
      <c r="K849">
        <v>0</v>
      </c>
      <c r="M849">
        <v>0</v>
      </c>
      <c r="O849">
        <v>0</v>
      </c>
    </row>
    <row r="850" spans="5:15" x14ac:dyDescent="0.3">
      <c r="E850">
        <v>0</v>
      </c>
      <c r="G850">
        <v>0</v>
      </c>
      <c r="I850">
        <v>0</v>
      </c>
      <c r="K850">
        <v>0</v>
      </c>
      <c r="M850">
        <v>0</v>
      </c>
      <c r="O850">
        <v>0</v>
      </c>
    </row>
    <row r="851" spans="5:15" x14ac:dyDescent="0.3">
      <c r="E851">
        <v>0</v>
      </c>
      <c r="G851">
        <v>0</v>
      </c>
      <c r="I851">
        <v>0</v>
      </c>
      <c r="K851">
        <v>0</v>
      </c>
      <c r="M851">
        <v>0</v>
      </c>
      <c r="O851">
        <v>0</v>
      </c>
    </row>
    <row r="852" spans="5:15" x14ac:dyDescent="0.3">
      <c r="E852">
        <v>0</v>
      </c>
      <c r="G852">
        <v>0</v>
      </c>
      <c r="I852">
        <v>0</v>
      </c>
      <c r="K852">
        <v>0</v>
      </c>
      <c r="M852">
        <v>0</v>
      </c>
      <c r="O852">
        <v>0</v>
      </c>
    </row>
    <row r="853" spans="5:15" x14ac:dyDescent="0.3">
      <c r="E853">
        <v>0</v>
      </c>
      <c r="G853">
        <v>0</v>
      </c>
      <c r="I853">
        <v>0</v>
      </c>
      <c r="K853">
        <v>0</v>
      </c>
      <c r="M853">
        <v>0</v>
      </c>
      <c r="O853">
        <v>0</v>
      </c>
    </row>
    <row r="854" spans="5:15" x14ac:dyDescent="0.3">
      <c r="E854">
        <v>0</v>
      </c>
      <c r="G854">
        <v>0</v>
      </c>
      <c r="I854">
        <v>0</v>
      </c>
      <c r="K854">
        <v>0</v>
      </c>
      <c r="M854">
        <v>0</v>
      </c>
      <c r="O854">
        <v>0</v>
      </c>
    </row>
    <row r="855" spans="5:15" x14ac:dyDescent="0.3">
      <c r="E855">
        <v>0</v>
      </c>
      <c r="G855">
        <v>0</v>
      </c>
      <c r="I855">
        <v>0</v>
      </c>
      <c r="K855">
        <v>0</v>
      </c>
      <c r="M855">
        <v>0</v>
      </c>
      <c r="O855">
        <v>0</v>
      </c>
    </row>
    <row r="856" spans="5:15" x14ac:dyDescent="0.3">
      <c r="E856">
        <v>0</v>
      </c>
      <c r="G856">
        <v>0</v>
      </c>
      <c r="I856">
        <v>0</v>
      </c>
      <c r="K856">
        <v>0</v>
      </c>
      <c r="M856">
        <v>0</v>
      </c>
      <c r="O856">
        <v>0</v>
      </c>
    </row>
    <row r="857" spans="5:15" x14ac:dyDescent="0.3">
      <c r="E857">
        <v>0</v>
      </c>
      <c r="G857">
        <v>0</v>
      </c>
      <c r="I857">
        <v>0</v>
      </c>
      <c r="K857">
        <v>0</v>
      </c>
      <c r="M857">
        <v>0</v>
      </c>
      <c r="O857">
        <v>0</v>
      </c>
    </row>
    <row r="858" spans="5:15" x14ac:dyDescent="0.3">
      <c r="E858">
        <v>0</v>
      </c>
      <c r="G858">
        <v>0</v>
      </c>
      <c r="I858">
        <v>0</v>
      </c>
      <c r="K858">
        <v>0</v>
      </c>
      <c r="M858">
        <v>0</v>
      </c>
      <c r="O858">
        <v>0</v>
      </c>
    </row>
    <row r="859" spans="5:15" x14ac:dyDescent="0.3">
      <c r="E859">
        <v>0</v>
      </c>
      <c r="G859">
        <v>0</v>
      </c>
      <c r="I859">
        <v>0</v>
      </c>
      <c r="K859">
        <v>0</v>
      </c>
      <c r="M859">
        <v>0</v>
      </c>
      <c r="O859">
        <v>0</v>
      </c>
    </row>
    <row r="860" spans="5:15" x14ac:dyDescent="0.3">
      <c r="E860">
        <v>0</v>
      </c>
      <c r="G860">
        <v>0</v>
      </c>
      <c r="I860">
        <v>0</v>
      </c>
      <c r="K860">
        <v>0</v>
      </c>
      <c r="M860">
        <v>0</v>
      </c>
      <c r="O860">
        <v>0</v>
      </c>
    </row>
    <row r="861" spans="5:15" x14ac:dyDescent="0.3">
      <c r="E861">
        <v>0</v>
      </c>
      <c r="G861">
        <v>0</v>
      </c>
      <c r="I861">
        <v>0</v>
      </c>
      <c r="K861">
        <v>0</v>
      </c>
      <c r="M861">
        <v>0</v>
      </c>
      <c r="O861">
        <v>0</v>
      </c>
    </row>
    <row r="862" spans="5:15" x14ac:dyDescent="0.3">
      <c r="E862">
        <v>0</v>
      </c>
      <c r="G862">
        <v>0</v>
      </c>
      <c r="I862">
        <v>0</v>
      </c>
      <c r="K862">
        <v>0</v>
      </c>
      <c r="M862">
        <v>0</v>
      </c>
      <c r="O862">
        <v>0</v>
      </c>
    </row>
    <row r="863" spans="5:15" x14ac:dyDescent="0.3">
      <c r="E863">
        <v>0</v>
      </c>
      <c r="G863">
        <v>0</v>
      </c>
      <c r="I863">
        <v>0</v>
      </c>
      <c r="K863">
        <v>0</v>
      </c>
      <c r="M863">
        <v>0</v>
      </c>
      <c r="O863">
        <v>0</v>
      </c>
    </row>
    <row r="864" spans="5:15" x14ac:dyDescent="0.3">
      <c r="E864">
        <v>0</v>
      </c>
      <c r="G864">
        <v>0</v>
      </c>
      <c r="I864">
        <v>0</v>
      </c>
      <c r="K864">
        <v>0</v>
      </c>
      <c r="M864">
        <v>0</v>
      </c>
      <c r="O864">
        <v>0</v>
      </c>
    </row>
    <row r="865" spans="5:15" x14ac:dyDescent="0.3">
      <c r="E865">
        <v>0</v>
      </c>
      <c r="G865">
        <v>0</v>
      </c>
      <c r="I865">
        <v>0</v>
      </c>
      <c r="K865">
        <v>0</v>
      </c>
      <c r="M865">
        <v>0</v>
      </c>
      <c r="O865">
        <v>0</v>
      </c>
    </row>
    <row r="866" spans="5:15" x14ac:dyDescent="0.3">
      <c r="E866">
        <v>0</v>
      </c>
      <c r="G866">
        <v>0</v>
      </c>
      <c r="I866">
        <v>0</v>
      </c>
      <c r="K866">
        <v>0</v>
      </c>
      <c r="M866">
        <v>0</v>
      </c>
      <c r="O866">
        <v>0</v>
      </c>
    </row>
    <row r="867" spans="5:15" x14ac:dyDescent="0.3">
      <c r="E867">
        <v>0</v>
      </c>
      <c r="G867">
        <v>0</v>
      </c>
      <c r="I867">
        <v>0</v>
      </c>
      <c r="K867">
        <v>0</v>
      </c>
      <c r="M867">
        <v>0</v>
      </c>
      <c r="O867">
        <v>0</v>
      </c>
    </row>
    <row r="868" spans="5:15" x14ac:dyDescent="0.3">
      <c r="E868">
        <v>0</v>
      </c>
      <c r="G868">
        <v>0</v>
      </c>
      <c r="I868">
        <v>0</v>
      </c>
      <c r="K868">
        <v>0</v>
      </c>
      <c r="M868">
        <v>0</v>
      </c>
      <c r="O868">
        <v>0</v>
      </c>
    </row>
    <row r="869" spans="5:15" x14ac:dyDescent="0.3">
      <c r="E869">
        <v>0</v>
      </c>
      <c r="G869">
        <v>0</v>
      </c>
      <c r="I869">
        <v>0</v>
      </c>
      <c r="K869">
        <v>0</v>
      </c>
      <c r="M869">
        <v>0</v>
      </c>
      <c r="O869">
        <v>0</v>
      </c>
    </row>
    <row r="870" spans="5:15" x14ac:dyDescent="0.3">
      <c r="E870">
        <v>0</v>
      </c>
      <c r="G870">
        <v>0</v>
      </c>
      <c r="I870">
        <v>0</v>
      </c>
      <c r="K870">
        <v>0</v>
      </c>
      <c r="M870">
        <v>0</v>
      </c>
      <c r="O870">
        <v>0</v>
      </c>
    </row>
    <row r="871" spans="5:15" x14ac:dyDescent="0.3">
      <c r="E871">
        <v>0</v>
      </c>
      <c r="G871">
        <v>0</v>
      </c>
      <c r="I871">
        <v>0</v>
      </c>
      <c r="K871">
        <v>0</v>
      </c>
      <c r="M871">
        <v>0</v>
      </c>
      <c r="O871">
        <v>0</v>
      </c>
    </row>
    <row r="872" spans="5:15" x14ac:dyDescent="0.3">
      <c r="E872">
        <v>0</v>
      </c>
      <c r="G872">
        <v>0</v>
      </c>
      <c r="I872">
        <v>0</v>
      </c>
      <c r="K872">
        <v>0</v>
      </c>
      <c r="M872">
        <v>0</v>
      </c>
      <c r="O872">
        <v>0</v>
      </c>
    </row>
    <row r="873" spans="5:15" x14ac:dyDescent="0.3">
      <c r="E873">
        <v>0</v>
      </c>
      <c r="G873">
        <v>0</v>
      </c>
      <c r="I873">
        <v>0</v>
      </c>
      <c r="K873">
        <v>0</v>
      </c>
      <c r="M873">
        <v>0</v>
      </c>
      <c r="O873">
        <v>0</v>
      </c>
    </row>
    <row r="874" spans="5:15" x14ac:dyDescent="0.3">
      <c r="E874">
        <v>0</v>
      </c>
      <c r="G874">
        <v>0</v>
      </c>
      <c r="I874">
        <v>0</v>
      </c>
      <c r="K874">
        <v>0</v>
      </c>
      <c r="M874">
        <v>0</v>
      </c>
      <c r="O874">
        <v>0</v>
      </c>
    </row>
    <row r="875" spans="5:15" x14ac:dyDescent="0.3">
      <c r="E875">
        <v>0</v>
      </c>
      <c r="G875">
        <v>0</v>
      </c>
      <c r="I875">
        <v>0</v>
      </c>
      <c r="K875">
        <v>0</v>
      </c>
      <c r="M875">
        <v>0</v>
      </c>
      <c r="O875">
        <v>0</v>
      </c>
    </row>
    <row r="876" spans="5:15" x14ac:dyDescent="0.3">
      <c r="E876">
        <v>0</v>
      </c>
      <c r="G876">
        <v>0</v>
      </c>
      <c r="I876">
        <v>0</v>
      </c>
      <c r="K876">
        <v>0</v>
      </c>
      <c r="M876">
        <v>0</v>
      </c>
      <c r="O876">
        <v>0</v>
      </c>
    </row>
    <row r="877" spans="5:15" x14ac:dyDescent="0.3">
      <c r="E877">
        <v>0</v>
      </c>
      <c r="G877">
        <v>0</v>
      </c>
      <c r="I877">
        <v>0</v>
      </c>
      <c r="K877">
        <v>0</v>
      </c>
      <c r="M877">
        <v>0</v>
      </c>
      <c r="O877">
        <v>0</v>
      </c>
    </row>
    <row r="878" spans="5:15" x14ac:dyDescent="0.3">
      <c r="E878">
        <v>0</v>
      </c>
      <c r="G878">
        <v>0</v>
      </c>
      <c r="I878">
        <v>0</v>
      </c>
      <c r="K878">
        <v>0</v>
      </c>
      <c r="M878">
        <v>0</v>
      </c>
      <c r="O878">
        <v>0</v>
      </c>
    </row>
    <row r="879" spans="5:15" x14ac:dyDescent="0.3">
      <c r="E879">
        <v>0</v>
      </c>
      <c r="G879">
        <v>0</v>
      </c>
      <c r="I879">
        <v>0</v>
      </c>
      <c r="K879">
        <v>0</v>
      </c>
      <c r="M879">
        <v>0</v>
      </c>
      <c r="O879">
        <v>0</v>
      </c>
    </row>
    <row r="880" spans="5:15" x14ac:dyDescent="0.3">
      <c r="E880">
        <v>0</v>
      </c>
      <c r="G880">
        <v>0</v>
      </c>
      <c r="I880">
        <v>0</v>
      </c>
      <c r="K880">
        <v>0</v>
      </c>
      <c r="M880">
        <v>0</v>
      </c>
      <c r="O880">
        <v>0</v>
      </c>
    </row>
    <row r="881" spans="5:15" x14ac:dyDescent="0.3">
      <c r="E881">
        <v>0</v>
      </c>
      <c r="G881">
        <v>0</v>
      </c>
      <c r="I881">
        <v>0</v>
      </c>
      <c r="K881">
        <v>0</v>
      </c>
      <c r="M881">
        <v>0</v>
      </c>
      <c r="O881">
        <v>0</v>
      </c>
    </row>
    <row r="882" spans="5:15" x14ac:dyDescent="0.3">
      <c r="E882">
        <v>0</v>
      </c>
      <c r="G882">
        <v>0</v>
      </c>
      <c r="I882">
        <v>0</v>
      </c>
      <c r="K882">
        <v>0</v>
      </c>
      <c r="M882">
        <v>0</v>
      </c>
      <c r="O882">
        <v>0</v>
      </c>
    </row>
    <row r="883" spans="5:15" x14ac:dyDescent="0.3">
      <c r="E883">
        <v>0</v>
      </c>
      <c r="G883">
        <v>0</v>
      </c>
      <c r="I883">
        <v>0</v>
      </c>
      <c r="K883">
        <v>0</v>
      </c>
      <c r="M883">
        <v>0</v>
      </c>
      <c r="O883">
        <v>0</v>
      </c>
    </row>
    <row r="884" spans="5:15" x14ac:dyDescent="0.3">
      <c r="E884">
        <v>0</v>
      </c>
      <c r="G884">
        <v>0</v>
      </c>
      <c r="I884">
        <v>0</v>
      </c>
      <c r="K884">
        <v>0</v>
      </c>
      <c r="M884">
        <v>0</v>
      </c>
      <c r="O884">
        <v>0</v>
      </c>
    </row>
    <row r="885" spans="5:15" x14ac:dyDescent="0.3">
      <c r="E885">
        <v>0</v>
      </c>
      <c r="G885">
        <v>0</v>
      </c>
      <c r="I885">
        <v>0</v>
      </c>
      <c r="K885">
        <v>0</v>
      </c>
      <c r="M885">
        <v>0</v>
      </c>
      <c r="O885">
        <v>0</v>
      </c>
    </row>
    <row r="886" spans="5:15" x14ac:dyDescent="0.3">
      <c r="E886">
        <v>0</v>
      </c>
      <c r="G886">
        <v>0</v>
      </c>
      <c r="I886">
        <v>0</v>
      </c>
      <c r="K886">
        <v>0</v>
      </c>
      <c r="M886">
        <v>0</v>
      </c>
      <c r="O886">
        <v>0</v>
      </c>
    </row>
    <row r="887" spans="5:15" x14ac:dyDescent="0.3">
      <c r="E887">
        <v>0</v>
      </c>
      <c r="G887">
        <v>0</v>
      </c>
      <c r="I887">
        <v>0</v>
      </c>
      <c r="K887">
        <v>0</v>
      </c>
      <c r="M887">
        <v>0</v>
      </c>
      <c r="O887">
        <v>0</v>
      </c>
    </row>
    <row r="888" spans="5:15" x14ac:dyDescent="0.3">
      <c r="E888">
        <v>0</v>
      </c>
      <c r="G888">
        <v>0</v>
      </c>
      <c r="I888">
        <v>0</v>
      </c>
      <c r="K888">
        <v>0</v>
      </c>
      <c r="M888">
        <v>0</v>
      </c>
      <c r="O888">
        <v>0</v>
      </c>
    </row>
    <row r="889" spans="5:15" x14ac:dyDescent="0.3">
      <c r="E889">
        <v>0</v>
      </c>
      <c r="G889">
        <v>0</v>
      </c>
      <c r="I889">
        <v>0</v>
      </c>
      <c r="K889">
        <v>0</v>
      </c>
      <c r="M889">
        <v>0</v>
      </c>
      <c r="O889">
        <v>0</v>
      </c>
    </row>
    <row r="890" spans="5:15" x14ac:dyDescent="0.3">
      <c r="E890">
        <v>0</v>
      </c>
      <c r="G890">
        <v>0</v>
      </c>
      <c r="I890">
        <v>0</v>
      </c>
      <c r="K890">
        <v>0</v>
      </c>
      <c r="M890">
        <v>0</v>
      </c>
      <c r="O890">
        <v>0</v>
      </c>
    </row>
    <row r="891" spans="5:15" x14ac:dyDescent="0.3">
      <c r="E891">
        <v>0</v>
      </c>
      <c r="G891">
        <v>0</v>
      </c>
      <c r="I891">
        <v>0</v>
      </c>
      <c r="K891">
        <v>0</v>
      </c>
      <c r="M891">
        <v>0</v>
      </c>
      <c r="O891">
        <v>0</v>
      </c>
    </row>
    <row r="892" spans="5:15" x14ac:dyDescent="0.3">
      <c r="E892">
        <v>0</v>
      </c>
      <c r="G892">
        <v>0</v>
      </c>
      <c r="I892">
        <v>0</v>
      </c>
      <c r="K892">
        <v>0</v>
      </c>
      <c r="M892">
        <v>0</v>
      </c>
      <c r="O892">
        <v>0</v>
      </c>
    </row>
    <row r="893" spans="5:15" x14ac:dyDescent="0.3">
      <c r="E893">
        <v>0</v>
      </c>
      <c r="G893">
        <v>0</v>
      </c>
      <c r="I893">
        <v>0</v>
      </c>
      <c r="K893">
        <v>0</v>
      </c>
      <c r="M893">
        <v>0</v>
      </c>
      <c r="O893">
        <v>0</v>
      </c>
    </row>
    <row r="894" spans="5:15" x14ac:dyDescent="0.3">
      <c r="E894">
        <v>0</v>
      </c>
      <c r="G894">
        <v>0</v>
      </c>
      <c r="I894">
        <v>0</v>
      </c>
      <c r="K894">
        <v>0</v>
      </c>
      <c r="M894">
        <v>0</v>
      </c>
      <c r="O894">
        <v>0</v>
      </c>
    </row>
    <row r="895" spans="5:15" x14ac:dyDescent="0.3">
      <c r="E895">
        <v>0</v>
      </c>
      <c r="G895">
        <v>0</v>
      </c>
      <c r="I895">
        <v>0</v>
      </c>
      <c r="K895">
        <v>0</v>
      </c>
      <c r="M895">
        <v>0</v>
      </c>
      <c r="O895">
        <v>0</v>
      </c>
    </row>
    <row r="896" spans="5:15" x14ac:dyDescent="0.3">
      <c r="E896">
        <v>0</v>
      </c>
      <c r="G896">
        <v>0</v>
      </c>
      <c r="I896">
        <v>0</v>
      </c>
      <c r="K896">
        <v>0</v>
      </c>
      <c r="M896">
        <v>0</v>
      </c>
      <c r="O896">
        <v>0</v>
      </c>
    </row>
    <row r="897" spans="5:15" x14ac:dyDescent="0.3">
      <c r="E897">
        <v>0</v>
      </c>
      <c r="G897">
        <v>0</v>
      </c>
      <c r="I897">
        <v>0</v>
      </c>
      <c r="K897">
        <v>0</v>
      </c>
      <c r="M897">
        <v>0</v>
      </c>
      <c r="O897">
        <v>0</v>
      </c>
    </row>
    <row r="898" spans="5:15" x14ac:dyDescent="0.3">
      <c r="E898">
        <v>0</v>
      </c>
      <c r="G898">
        <v>0</v>
      </c>
      <c r="I898">
        <v>0</v>
      </c>
      <c r="K898">
        <v>0</v>
      </c>
      <c r="M898">
        <v>0</v>
      </c>
      <c r="O898">
        <v>0</v>
      </c>
    </row>
    <row r="899" spans="5:15" x14ac:dyDescent="0.3">
      <c r="E899">
        <v>0</v>
      </c>
      <c r="G899">
        <v>0</v>
      </c>
      <c r="I899">
        <v>0</v>
      </c>
      <c r="K899">
        <v>0</v>
      </c>
      <c r="M899">
        <v>0</v>
      </c>
      <c r="O899">
        <v>0</v>
      </c>
    </row>
    <row r="900" spans="5:15" x14ac:dyDescent="0.3">
      <c r="E900">
        <v>0</v>
      </c>
      <c r="G900">
        <v>0</v>
      </c>
      <c r="I900">
        <v>0</v>
      </c>
      <c r="K900">
        <v>0</v>
      </c>
      <c r="M900">
        <v>0</v>
      </c>
      <c r="O900">
        <v>0</v>
      </c>
    </row>
    <row r="901" spans="5:15" x14ac:dyDescent="0.3">
      <c r="E901">
        <v>0</v>
      </c>
      <c r="G901">
        <v>0</v>
      </c>
      <c r="I901">
        <v>0</v>
      </c>
      <c r="K901">
        <v>0</v>
      </c>
      <c r="M901">
        <v>0</v>
      </c>
      <c r="O901">
        <v>0</v>
      </c>
    </row>
    <row r="902" spans="5:15" x14ac:dyDescent="0.3">
      <c r="E902">
        <v>0</v>
      </c>
      <c r="G902">
        <v>0</v>
      </c>
      <c r="I902">
        <v>0</v>
      </c>
      <c r="K902">
        <v>0</v>
      </c>
      <c r="M902">
        <v>0</v>
      </c>
      <c r="O902">
        <v>0</v>
      </c>
    </row>
    <row r="903" spans="5:15" x14ac:dyDescent="0.3">
      <c r="E903">
        <v>0</v>
      </c>
      <c r="G903">
        <v>0</v>
      </c>
      <c r="I903">
        <v>0</v>
      </c>
      <c r="K903">
        <v>0</v>
      </c>
      <c r="M903">
        <v>0</v>
      </c>
      <c r="O903">
        <v>0</v>
      </c>
    </row>
    <row r="904" spans="5:15" x14ac:dyDescent="0.3">
      <c r="E904">
        <v>0</v>
      </c>
      <c r="G904">
        <v>0</v>
      </c>
      <c r="I904">
        <v>0</v>
      </c>
      <c r="K904">
        <v>0</v>
      </c>
      <c r="M904">
        <v>0</v>
      </c>
      <c r="O904">
        <v>0</v>
      </c>
    </row>
    <row r="905" spans="5:15" x14ac:dyDescent="0.3">
      <c r="E905">
        <v>0</v>
      </c>
      <c r="G905">
        <v>0</v>
      </c>
      <c r="I905">
        <v>0</v>
      </c>
      <c r="K905">
        <v>0</v>
      </c>
      <c r="M905">
        <v>0</v>
      </c>
      <c r="O905">
        <v>0</v>
      </c>
    </row>
    <row r="906" spans="5:15" x14ac:dyDescent="0.3">
      <c r="E906">
        <v>0</v>
      </c>
      <c r="G906">
        <v>0</v>
      </c>
      <c r="I906">
        <v>0</v>
      </c>
      <c r="K906">
        <v>0</v>
      </c>
      <c r="M906">
        <v>0</v>
      </c>
      <c r="O906">
        <v>0</v>
      </c>
    </row>
    <row r="907" spans="5:15" x14ac:dyDescent="0.3">
      <c r="E907">
        <v>0</v>
      </c>
      <c r="G907">
        <v>0</v>
      </c>
      <c r="I907">
        <v>0</v>
      </c>
      <c r="K907">
        <v>0</v>
      </c>
      <c r="M907">
        <v>0</v>
      </c>
      <c r="O907">
        <v>0</v>
      </c>
    </row>
    <row r="908" spans="5:15" x14ac:dyDescent="0.3">
      <c r="E908">
        <v>0</v>
      </c>
      <c r="G908">
        <v>0</v>
      </c>
      <c r="I908">
        <v>0</v>
      </c>
      <c r="K908">
        <v>0</v>
      </c>
      <c r="M908">
        <v>0</v>
      </c>
      <c r="O908">
        <v>0</v>
      </c>
    </row>
    <row r="909" spans="5:15" x14ac:dyDescent="0.3">
      <c r="E909">
        <v>0</v>
      </c>
      <c r="G909">
        <v>0</v>
      </c>
      <c r="I909">
        <v>0</v>
      </c>
      <c r="K909">
        <v>0</v>
      </c>
      <c r="M909">
        <v>0</v>
      </c>
      <c r="O909">
        <v>0</v>
      </c>
    </row>
    <row r="910" spans="5:15" x14ac:dyDescent="0.3">
      <c r="E910">
        <v>0</v>
      </c>
      <c r="G910">
        <v>0</v>
      </c>
      <c r="I910">
        <v>0</v>
      </c>
      <c r="K910">
        <v>0</v>
      </c>
      <c r="M910">
        <v>0</v>
      </c>
      <c r="O910">
        <v>0</v>
      </c>
    </row>
    <row r="911" spans="5:15" x14ac:dyDescent="0.3">
      <c r="E911">
        <v>0</v>
      </c>
      <c r="G911">
        <v>0</v>
      </c>
      <c r="I911">
        <v>0</v>
      </c>
      <c r="K911">
        <v>0</v>
      </c>
      <c r="M911">
        <v>0</v>
      </c>
      <c r="O911">
        <v>0</v>
      </c>
    </row>
    <row r="912" spans="5:15" x14ac:dyDescent="0.3">
      <c r="E912">
        <v>0</v>
      </c>
      <c r="G912">
        <v>0</v>
      </c>
      <c r="I912">
        <v>0</v>
      </c>
      <c r="K912">
        <v>0</v>
      </c>
      <c r="M912">
        <v>0</v>
      </c>
      <c r="O912">
        <v>0</v>
      </c>
    </row>
    <row r="913" spans="5:15" x14ac:dyDescent="0.3">
      <c r="E913">
        <v>0</v>
      </c>
      <c r="G913">
        <v>0</v>
      </c>
      <c r="I913">
        <v>0</v>
      </c>
      <c r="K913">
        <v>0</v>
      </c>
      <c r="M913">
        <v>0</v>
      </c>
      <c r="O913">
        <v>0</v>
      </c>
    </row>
    <row r="914" spans="5:15" x14ac:dyDescent="0.3">
      <c r="E914">
        <v>0</v>
      </c>
      <c r="G914">
        <v>0</v>
      </c>
      <c r="I914">
        <v>0</v>
      </c>
      <c r="K914">
        <v>0</v>
      </c>
      <c r="M914">
        <v>0</v>
      </c>
      <c r="O914">
        <v>0</v>
      </c>
    </row>
    <row r="915" spans="5:15" x14ac:dyDescent="0.3">
      <c r="E915">
        <v>0</v>
      </c>
      <c r="G915">
        <v>0</v>
      </c>
      <c r="I915">
        <v>0</v>
      </c>
      <c r="K915">
        <v>0</v>
      </c>
      <c r="M915">
        <v>0</v>
      </c>
      <c r="O915">
        <v>0</v>
      </c>
    </row>
    <row r="916" spans="5:15" x14ac:dyDescent="0.3">
      <c r="E916">
        <v>0</v>
      </c>
      <c r="G916">
        <v>0</v>
      </c>
      <c r="I916">
        <v>0</v>
      </c>
      <c r="K916">
        <v>0</v>
      </c>
      <c r="M916">
        <v>0</v>
      </c>
      <c r="O916">
        <v>0</v>
      </c>
    </row>
    <row r="917" spans="5:15" x14ac:dyDescent="0.3">
      <c r="E917">
        <v>0</v>
      </c>
      <c r="G917">
        <v>0</v>
      </c>
      <c r="I917">
        <v>0</v>
      </c>
      <c r="K917">
        <v>0</v>
      </c>
      <c r="M917">
        <v>0</v>
      </c>
      <c r="O917">
        <v>0</v>
      </c>
    </row>
    <row r="918" spans="5:15" x14ac:dyDescent="0.3">
      <c r="E918">
        <v>0</v>
      </c>
      <c r="G918">
        <v>0</v>
      </c>
      <c r="I918">
        <v>0</v>
      </c>
      <c r="K918">
        <v>0</v>
      </c>
      <c r="M918">
        <v>0</v>
      </c>
      <c r="O918">
        <v>0</v>
      </c>
    </row>
    <row r="919" spans="5:15" x14ac:dyDescent="0.3">
      <c r="E919">
        <v>0</v>
      </c>
      <c r="G919">
        <v>0</v>
      </c>
      <c r="I919">
        <v>0</v>
      </c>
      <c r="K919">
        <v>0</v>
      </c>
      <c r="M919">
        <v>0</v>
      </c>
      <c r="O919">
        <v>0</v>
      </c>
    </row>
    <row r="920" spans="5:15" x14ac:dyDescent="0.3">
      <c r="E920">
        <v>0</v>
      </c>
      <c r="G920">
        <v>0</v>
      </c>
      <c r="I920">
        <v>0</v>
      </c>
      <c r="K920">
        <v>0</v>
      </c>
      <c r="M920">
        <v>0</v>
      </c>
      <c r="O920">
        <v>0</v>
      </c>
    </row>
    <row r="921" spans="5:15" x14ac:dyDescent="0.3">
      <c r="E921">
        <v>0</v>
      </c>
      <c r="G921">
        <v>0</v>
      </c>
      <c r="I921">
        <v>0</v>
      </c>
      <c r="K921">
        <v>0</v>
      </c>
      <c r="M921">
        <v>0</v>
      </c>
      <c r="O921">
        <v>0</v>
      </c>
    </row>
    <row r="922" spans="5:15" x14ac:dyDescent="0.3">
      <c r="E922">
        <v>0</v>
      </c>
      <c r="G922">
        <v>0</v>
      </c>
      <c r="I922">
        <v>0</v>
      </c>
      <c r="K922">
        <v>0</v>
      </c>
      <c r="M922">
        <v>0</v>
      </c>
      <c r="O922">
        <v>0</v>
      </c>
    </row>
    <row r="923" spans="5:15" x14ac:dyDescent="0.3">
      <c r="E923">
        <v>0</v>
      </c>
      <c r="G923">
        <v>0</v>
      </c>
      <c r="I923">
        <v>0</v>
      </c>
      <c r="K923">
        <v>0</v>
      </c>
      <c r="M923">
        <v>0</v>
      </c>
      <c r="O923">
        <v>0</v>
      </c>
    </row>
    <row r="924" spans="5:15" x14ac:dyDescent="0.3">
      <c r="E924">
        <v>0</v>
      </c>
      <c r="G924">
        <v>0</v>
      </c>
      <c r="I924">
        <v>0</v>
      </c>
      <c r="K924">
        <v>0</v>
      </c>
      <c r="M924">
        <v>0</v>
      </c>
      <c r="O924">
        <v>0</v>
      </c>
    </row>
    <row r="925" spans="5:15" x14ac:dyDescent="0.3">
      <c r="E925">
        <v>0</v>
      </c>
      <c r="G925">
        <v>0</v>
      </c>
      <c r="I925">
        <v>0</v>
      </c>
      <c r="K925">
        <v>0</v>
      </c>
      <c r="M925">
        <v>0</v>
      </c>
      <c r="O925">
        <v>0</v>
      </c>
    </row>
    <row r="926" spans="5:15" x14ac:dyDescent="0.3">
      <c r="E926">
        <v>0</v>
      </c>
      <c r="G926">
        <v>0</v>
      </c>
      <c r="I926">
        <v>0</v>
      </c>
      <c r="K926">
        <v>0</v>
      </c>
      <c r="M926">
        <v>0</v>
      </c>
      <c r="O926">
        <v>0</v>
      </c>
    </row>
    <row r="927" spans="5:15" x14ac:dyDescent="0.3">
      <c r="E927">
        <v>0</v>
      </c>
      <c r="G927">
        <v>0</v>
      </c>
      <c r="I927">
        <v>0</v>
      </c>
      <c r="K927">
        <v>0</v>
      </c>
      <c r="M927">
        <v>0</v>
      </c>
      <c r="O927">
        <v>0</v>
      </c>
    </row>
    <row r="928" spans="5:15" x14ac:dyDescent="0.3">
      <c r="E928">
        <v>0</v>
      </c>
      <c r="G928">
        <v>0</v>
      </c>
      <c r="I928">
        <v>0</v>
      </c>
      <c r="K928">
        <v>0</v>
      </c>
      <c r="M928">
        <v>0</v>
      </c>
      <c r="O928">
        <v>0</v>
      </c>
    </row>
    <row r="929" spans="5:15" x14ac:dyDescent="0.3">
      <c r="E929">
        <v>0</v>
      </c>
      <c r="G929">
        <v>0</v>
      </c>
      <c r="I929">
        <v>0</v>
      </c>
      <c r="K929">
        <v>0</v>
      </c>
      <c r="M929">
        <v>0</v>
      </c>
      <c r="O929">
        <v>0</v>
      </c>
    </row>
    <row r="930" spans="5:15" x14ac:dyDescent="0.3">
      <c r="E930">
        <v>0</v>
      </c>
      <c r="G930">
        <v>0</v>
      </c>
      <c r="I930">
        <v>0</v>
      </c>
      <c r="K930">
        <v>0</v>
      </c>
      <c r="M930">
        <v>0</v>
      </c>
      <c r="O930">
        <v>0</v>
      </c>
    </row>
    <row r="931" spans="5:15" x14ac:dyDescent="0.3">
      <c r="E931">
        <v>0</v>
      </c>
      <c r="G931">
        <v>0</v>
      </c>
      <c r="I931">
        <v>0</v>
      </c>
      <c r="K931">
        <v>0</v>
      </c>
      <c r="M931">
        <v>0</v>
      </c>
      <c r="O931">
        <v>0</v>
      </c>
    </row>
    <row r="932" spans="5:15" x14ac:dyDescent="0.3">
      <c r="E932">
        <v>0</v>
      </c>
      <c r="G932">
        <v>0</v>
      </c>
      <c r="I932">
        <v>0</v>
      </c>
      <c r="K932">
        <v>0</v>
      </c>
      <c r="M932">
        <v>0</v>
      </c>
      <c r="O932">
        <v>0</v>
      </c>
    </row>
    <row r="933" spans="5:15" x14ac:dyDescent="0.3">
      <c r="E933">
        <v>0</v>
      </c>
      <c r="G933">
        <v>0</v>
      </c>
      <c r="I933">
        <v>0</v>
      </c>
      <c r="K933">
        <v>0</v>
      </c>
      <c r="M933">
        <v>0</v>
      </c>
      <c r="O933">
        <v>0</v>
      </c>
    </row>
    <row r="934" spans="5:15" x14ac:dyDescent="0.3">
      <c r="E934">
        <v>0</v>
      </c>
      <c r="G934">
        <v>0</v>
      </c>
      <c r="I934">
        <v>0</v>
      </c>
      <c r="K934">
        <v>0</v>
      </c>
      <c r="M934">
        <v>0</v>
      </c>
      <c r="O934">
        <v>0</v>
      </c>
    </row>
    <row r="935" spans="5:15" x14ac:dyDescent="0.3">
      <c r="E935">
        <v>0</v>
      </c>
      <c r="G935">
        <v>0</v>
      </c>
      <c r="I935">
        <v>0</v>
      </c>
      <c r="K935">
        <v>0</v>
      </c>
      <c r="M935">
        <v>0</v>
      </c>
      <c r="O935">
        <v>0</v>
      </c>
    </row>
    <row r="936" spans="5:15" x14ac:dyDescent="0.3">
      <c r="E936">
        <v>0</v>
      </c>
      <c r="G936">
        <v>0</v>
      </c>
      <c r="I936">
        <v>0</v>
      </c>
      <c r="K936">
        <v>0</v>
      </c>
      <c r="M936">
        <v>0</v>
      </c>
      <c r="O936">
        <v>0</v>
      </c>
    </row>
    <row r="937" spans="5:15" x14ac:dyDescent="0.3">
      <c r="E937">
        <v>0</v>
      </c>
      <c r="G937">
        <v>0</v>
      </c>
      <c r="I937">
        <v>0</v>
      </c>
      <c r="K937">
        <v>0</v>
      </c>
      <c r="M937">
        <v>0</v>
      </c>
      <c r="O937">
        <v>0</v>
      </c>
    </row>
    <row r="938" spans="5:15" x14ac:dyDescent="0.3">
      <c r="E938">
        <v>0</v>
      </c>
      <c r="G938">
        <v>0</v>
      </c>
      <c r="I938">
        <v>0</v>
      </c>
      <c r="K938">
        <v>0</v>
      </c>
      <c r="M938">
        <v>0</v>
      </c>
      <c r="O938">
        <v>0</v>
      </c>
    </row>
    <row r="939" spans="5:15" x14ac:dyDescent="0.3">
      <c r="E939">
        <v>0</v>
      </c>
      <c r="G939">
        <v>0</v>
      </c>
      <c r="I939">
        <v>0</v>
      </c>
      <c r="K939">
        <v>0</v>
      </c>
      <c r="M939">
        <v>0</v>
      </c>
      <c r="O939">
        <v>0</v>
      </c>
    </row>
    <row r="940" spans="5:15" x14ac:dyDescent="0.3">
      <c r="E940">
        <v>0</v>
      </c>
      <c r="G940">
        <v>0</v>
      </c>
      <c r="I940">
        <v>0</v>
      </c>
      <c r="K940">
        <v>0</v>
      </c>
      <c r="M940">
        <v>0</v>
      </c>
      <c r="O940">
        <v>0</v>
      </c>
    </row>
    <row r="941" spans="5:15" x14ac:dyDescent="0.3">
      <c r="E941">
        <v>0</v>
      </c>
      <c r="G941">
        <v>0</v>
      </c>
      <c r="I941">
        <v>0</v>
      </c>
      <c r="K941">
        <v>0</v>
      </c>
      <c r="M941">
        <v>0</v>
      </c>
      <c r="O941">
        <v>0</v>
      </c>
    </row>
    <row r="942" spans="5:15" x14ac:dyDescent="0.3">
      <c r="E942">
        <v>0</v>
      </c>
      <c r="G942">
        <v>0</v>
      </c>
      <c r="I942">
        <v>0</v>
      </c>
      <c r="K942">
        <v>0</v>
      </c>
      <c r="M942">
        <v>0</v>
      </c>
      <c r="O942">
        <v>0</v>
      </c>
    </row>
    <row r="943" spans="5:15" x14ac:dyDescent="0.3">
      <c r="E943">
        <v>0</v>
      </c>
      <c r="G943">
        <v>0</v>
      </c>
      <c r="I943">
        <v>0</v>
      </c>
      <c r="K943">
        <v>0</v>
      </c>
      <c r="M943">
        <v>0</v>
      </c>
      <c r="O943">
        <v>0</v>
      </c>
    </row>
    <row r="944" spans="5:15" x14ac:dyDescent="0.3">
      <c r="E944">
        <v>0</v>
      </c>
      <c r="G944">
        <v>0</v>
      </c>
      <c r="I944">
        <v>0</v>
      </c>
      <c r="K944">
        <v>0</v>
      </c>
      <c r="M944">
        <v>0</v>
      </c>
      <c r="O944">
        <v>0</v>
      </c>
    </row>
    <row r="945" spans="5:15" x14ac:dyDescent="0.3">
      <c r="E945">
        <v>0</v>
      </c>
      <c r="G945">
        <v>0</v>
      </c>
      <c r="I945">
        <v>0</v>
      </c>
      <c r="K945">
        <v>0</v>
      </c>
      <c r="M945">
        <v>0</v>
      </c>
      <c r="O945">
        <v>0</v>
      </c>
    </row>
    <row r="946" spans="5:15" x14ac:dyDescent="0.3">
      <c r="E946">
        <v>0</v>
      </c>
      <c r="G946">
        <v>0</v>
      </c>
      <c r="I946">
        <v>0</v>
      </c>
      <c r="K946">
        <v>0</v>
      </c>
      <c r="M946">
        <v>0</v>
      </c>
      <c r="O946">
        <v>0</v>
      </c>
    </row>
    <row r="947" spans="5:15" x14ac:dyDescent="0.3">
      <c r="E947">
        <v>0</v>
      </c>
      <c r="G947">
        <v>0</v>
      </c>
      <c r="I947">
        <v>0</v>
      </c>
      <c r="K947">
        <v>0</v>
      </c>
      <c r="M947">
        <v>0</v>
      </c>
      <c r="O947">
        <v>0</v>
      </c>
    </row>
    <row r="948" spans="5:15" x14ac:dyDescent="0.3">
      <c r="E948">
        <v>0</v>
      </c>
      <c r="G948">
        <v>0</v>
      </c>
      <c r="I948">
        <v>0</v>
      </c>
      <c r="K948">
        <v>0</v>
      </c>
      <c r="M948">
        <v>0</v>
      </c>
      <c r="O948">
        <v>0</v>
      </c>
    </row>
    <row r="949" spans="5:15" x14ac:dyDescent="0.3">
      <c r="E949">
        <v>0</v>
      </c>
      <c r="G949">
        <v>0</v>
      </c>
      <c r="I949">
        <v>0</v>
      </c>
      <c r="K949">
        <v>0</v>
      </c>
      <c r="M949">
        <v>0</v>
      </c>
      <c r="O949">
        <v>0</v>
      </c>
    </row>
    <row r="950" spans="5:15" x14ac:dyDescent="0.3">
      <c r="E950">
        <v>0</v>
      </c>
      <c r="G950">
        <v>0</v>
      </c>
      <c r="I950">
        <v>0</v>
      </c>
      <c r="K950">
        <v>0</v>
      </c>
      <c r="M950">
        <v>0</v>
      </c>
      <c r="O950">
        <v>0</v>
      </c>
    </row>
    <row r="951" spans="5:15" x14ac:dyDescent="0.3">
      <c r="E951">
        <v>0</v>
      </c>
      <c r="G951">
        <v>0</v>
      </c>
      <c r="I951">
        <v>0</v>
      </c>
      <c r="K951">
        <v>0</v>
      </c>
      <c r="M951">
        <v>0</v>
      </c>
      <c r="O951">
        <v>0</v>
      </c>
    </row>
    <row r="952" spans="5:15" x14ac:dyDescent="0.3">
      <c r="E952">
        <v>0</v>
      </c>
      <c r="G952">
        <v>0</v>
      </c>
      <c r="I952">
        <v>0</v>
      </c>
      <c r="K952">
        <v>0</v>
      </c>
      <c r="M952">
        <v>0</v>
      </c>
      <c r="O952">
        <v>0</v>
      </c>
    </row>
    <row r="953" spans="5:15" x14ac:dyDescent="0.3">
      <c r="E953">
        <v>0</v>
      </c>
      <c r="G953">
        <v>0</v>
      </c>
      <c r="I953">
        <v>0</v>
      </c>
      <c r="K953">
        <v>0</v>
      </c>
      <c r="M953">
        <v>0</v>
      </c>
      <c r="O953">
        <v>0</v>
      </c>
    </row>
    <row r="954" spans="5:15" x14ac:dyDescent="0.3">
      <c r="E954">
        <v>0</v>
      </c>
      <c r="G954">
        <v>0</v>
      </c>
      <c r="I954">
        <v>0</v>
      </c>
      <c r="K954">
        <v>0</v>
      </c>
      <c r="M954">
        <v>0</v>
      </c>
      <c r="O954">
        <v>0</v>
      </c>
    </row>
    <row r="955" spans="5:15" x14ac:dyDescent="0.3">
      <c r="E955">
        <v>0</v>
      </c>
      <c r="G955">
        <v>0</v>
      </c>
      <c r="I955">
        <v>0</v>
      </c>
      <c r="K955">
        <v>0</v>
      </c>
      <c r="M955">
        <v>0</v>
      </c>
      <c r="O955">
        <v>0</v>
      </c>
    </row>
    <row r="956" spans="5:15" x14ac:dyDescent="0.3">
      <c r="E956">
        <v>0</v>
      </c>
      <c r="G956">
        <v>0</v>
      </c>
      <c r="I956">
        <v>0</v>
      </c>
      <c r="K956">
        <v>0</v>
      </c>
      <c r="M956">
        <v>0</v>
      </c>
      <c r="O956">
        <v>0</v>
      </c>
    </row>
    <row r="957" spans="5:15" x14ac:dyDescent="0.3">
      <c r="E957">
        <v>0</v>
      </c>
      <c r="G957">
        <v>0</v>
      </c>
      <c r="I957">
        <v>0</v>
      </c>
      <c r="K957">
        <v>0</v>
      </c>
      <c r="M957">
        <v>0</v>
      </c>
      <c r="O957">
        <v>0</v>
      </c>
    </row>
    <row r="958" spans="5:15" x14ac:dyDescent="0.3">
      <c r="E958">
        <v>0</v>
      </c>
      <c r="G958">
        <v>0</v>
      </c>
      <c r="I958">
        <v>0</v>
      </c>
      <c r="K958">
        <v>0</v>
      </c>
      <c r="M958">
        <v>0</v>
      </c>
      <c r="O958">
        <v>0</v>
      </c>
    </row>
    <row r="959" spans="5:15" x14ac:dyDescent="0.3">
      <c r="E959">
        <v>0</v>
      </c>
      <c r="G959">
        <v>0</v>
      </c>
      <c r="I959">
        <v>0</v>
      </c>
      <c r="K959">
        <v>0</v>
      </c>
      <c r="M959">
        <v>0</v>
      </c>
      <c r="O959">
        <v>0</v>
      </c>
    </row>
    <row r="960" spans="5:15" x14ac:dyDescent="0.3">
      <c r="E960">
        <v>0</v>
      </c>
      <c r="G960">
        <v>0</v>
      </c>
      <c r="I960">
        <v>0</v>
      </c>
      <c r="K960">
        <v>0</v>
      </c>
      <c r="M960">
        <v>0</v>
      </c>
      <c r="O960">
        <v>0</v>
      </c>
    </row>
    <row r="961" spans="5:15" x14ac:dyDescent="0.3">
      <c r="E961">
        <v>0</v>
      </c>
      <c r="G961">
        <v>0</v>
      </c>
      <c r="I961">
        <v>0</v>
      </c>
      <c r="K961">
        <v>0</v>
      </c>
      <c r="M961">
        <v>0</v>
      </c>
      <c r="O961">
        <v>0</v>
      </c>
    </row>
    <row r="962" spans="5:15" x14ac:dyDescent="0.3">
      <c r="E962">
        <v>0</v>
      </c>
      <c r="G962">
        <v>0</v>
      </c>
      <c r="I962">
        <v>0</v>
      </c>
      <c r="K962">
        <v>0</v>
      </c>
      <c r="M962">
        <v>0</v>
      </c>
      <c r="O962">
        <v>0</v>
      </c>
    </row>
    <row r="963" spans="5:15" x14ac:dyDescent="0.3">
      <c r="E963">
        <v>0</v>
      </c>
      <c r="G963">
        <v>0</v>
      </c>
      <c r="I963">
        <v>0</v>
      </c>
      <c r="K963">
        <v>0</v>
      </c>
      <c r="M963">
        <v>0</v>
      </c>
      <c r="O963">
        <v>0</v>
      </c>
    </row>
    <row r="964" spans="5:15" x14ac:dyDescent="0.3">
      <c r="E964">
        <v>0</v>
      </c>
      <c r="G964">
        <v>0</v>
      </c>
      <c r="I964">
        <v>0</v>
      </c>
      <c r="K964">
        <v>0</v>
      </c>
      <c r="M964">
        <v>0</v>
      </c>
      <c r="O964">
        <v>0</v>
      </c>
    </row>
    <row r="965" spans="5:15" x14ac:dyDescent="0.3">
      <c r="E965">
        <v>0</v>
      </c>
      <c r="G965">
        <v>0</v>
      </c>
      <c r="I965">
        <v>0</v>
      </c>
      <c r="K965">
        <v>0</v>
      </c>
      <c r="M965">
        <v>0</v>
      </c>
      <c r="O965">
        <v>0</v>
      </c>
    </row>
    <row r="966" spans="5:15" x14ac:dyDescent="0.3">
      <c r="E966">
        <v>0</v>
      </c>
      <c r="G966">
        <v>0</v>
      </c>
      <c r="I966">
        <v>0</v>
      </c>
      <c r="K966">
        <v>0</v>
      </c>
      <c r="M966">
        <v>0</v>
      </c>
      <c r="O966">
        <v>0</v>
      </c>
    </row>
    <row r="967" spans="5:15" x14ac:dyDescent="0.3">
      <c r="E967">
        <v>0</v>
      </c>
      <c r="G967">
        <v>0</v>
      </c>
      <c r="I967">
        <v>0</v>
      </c>
      <c r="K967">
        <v>0</v>
      </c>
      <c r="M967">
        <v>0</v>
      </c>
      <c r="O967">
        <v>0</v>
      </c>
    </row>
    <row r="968" spans="5:15" x14ac:dyDescent="0.3">
      <c r="E968">
        <v>0</v>
      </c>
      <c r="G968">
        <v>0</v>
      </c>
      <c r="I968">
        <v>0</v>
      </c>
      <c r="K968">
        <v>0</v>
      </c>
      <c r="M968">
        <v>0</v>
      </c>
      <c r="O968">
        <v>0</v>
      </c>
    </row>
    <row r="969" spans="5:15" x14ac:dyDescent="0.3">
      <c r="E969">
        <v>0</v>
      </c>
      <c r="G969">
        <v>0</v>
      </c>
      <c r="I969">
        <v>0</v>
      </c>
      <c r="K969">
        <v>0</v>
      </c>
      <c r="M969">
        <v>0</v>
      </c>
      <c r="O969">
        <v>0</v>
      </c>
    </row>
    <row r="970" spans="5:15" x14ac:dyDescent="0.3">
      <c r="E970">
        <v>0</v>
      </c>
      <c r="G970">
        <v>0</v>
      </c>
      <c r="I970">
        <v>0</v>
      </c>
      <c r="K970">
        <v>0</v>
      </c>
      <c r="M970">
        <v>0</v>
      </c>
      <c r="O970">
        <v>0</v>
      </c>
    </row>
    <row r="971" spans="5:15" x14ac:dyDescent="0.3">
      <c r="E971">
        <v>0</v>
      </c>
      <c r="G971">
        <v>0</v>
      </c>
      <c r="I971">
        <v>0</v>
      </c>
      <c r="K971">
        <v>0</v>
      </c>
      <c r="M971">
        <v>0</v>
      </c>
      <c r="O971">
        <v>0</v>
      </c>
    </row>
    <row r="972" spans="5:15" x14ac:dyDescent="0.3">
      <c r="E972">
        <v>0</v>
      </c>
      <c r="G972">
        <v>0</v>
      </c>
      <c r="I972">
        <v>0</v>
      </c>
      <c r="K972">
        <v>0</v>
      </c>
      <c r="M972">
        <v>0</v>
      </c>
      <c r="O972">
        <v>0</v>
      </c>
    </row>
    <row r="973" spans="5:15" x14ac:dyDescent="0.3">
      <c r="E973">
        <v>0</v>
      </c>
      <c r="G973">
        <v>0</v>
      </c>
      <c r="I973">
        <v>0</v>
      </c>
      <c r="K973">
        <v>0</v>
      </c>
      <c r="M973">
        <v>0</v>
      </c>
      <c r="O973">
        <v>0</v>
      </c>
    </row>
    <row r="974" spans="5:15" x14ac:dyDescent="0.3">
      <c r="E974">
        <v>0</v>
      </c>
      <c r="G974">
        <v>0</v>
      </c>
      <c r="I974">
        <v>0</v>
      </c>
      <c r="K974">
        <v>0</v>
      </c>
      <c r="M974">
        <v>0</v>
      </c>
      <c r="O974">
        <v>0</v>
      </c>
    </row>
    <row r="975" spans="5:15" x14ac:dyDescent="0.3">
      <c r="E975">
        <v>0</v>
      </c>
      <c r="G975">
        <v>0</v>
      </c>
      <c r="I975">
        <v>0</v>
      </c>
      <c r="K975">
        <v>0</v>
      </c>
      <c r="M975">
        <v>0</v>
      </c>
      <c r="O975">
        <v>0</v>
      </c>
    </row>
    <row r="976" spans="5:15" x14ac:dyDescent="0.3">
      <c r="E976">
        <v>0</v>
      </c>
      <c r="G976">
        <v>0</v>
      </c>
      <c r="I976">
        <v>0</v>
      </c>
      <c r="K976">
        <v>0</v>
      </c>
      <c r="M976">
        <v>0</v>
      </c>
      <c r="O976">
        <v>0</v>
      </c>
    </row>
    <row r="977" spans="5:15" x14ac:dyDescent="0.3">
      <c r="E977">
        <v>0</v>
      </c>
      <c r="G977">
        <v>0</v>
      </c>
      <c r="I977">
        <v>0</v>
      </c>
      <c r="K977">
        <v>0</v>
      </c>
      <c r="M977">
        <v>0</v>
      </c>
      <c r="O977">
        <v>0</v>
      </c>
    </row>
    <row r="978" spans="5:15" x14ac:dyDescent="0.3">
      <c r="E978">
        <v>0</v>
      </c>
      <c r="G978">
        <v>0</v>
      </c>
      <c r="I978">
        <v>0</v>
      </c>
      <c r="K978">
        <v>0</v>
      </c>
      <c r="M978">
        <v>0</v>
      </c>
      <c r="O978">
        <v>0</v>
      </c>
    </row>
    <row r="979" spans="5:15" x14ac:dyDescent="0.3">
      <c r="E979">
        <v>0</v>
      </c>
      <c r="G979">
        <v>0</v>
      </c>
      <c r="I979">
        <v>0</v>
      </c>
      <c r="K979">
        <v>0</v>
      </c>
      <c r="M979">
        <v>0</v>
      </c>
      <c r="O979">
        <v>0</v>
      </c>
    </row>
    <row r="980" spans="5:15" x14ac:dyDescent="0.3">
      <c r="E980">
        <v>0</v>
      </c>
      <c r="G980">
        <v>0</v>
      </c>
      <c r="I980">
        <v>0</v>
      </c>
      <c r="K980">
        <v>0</v>
      </c>
      <c r="M980">
        <v>0</v>
      </c>
      <c r="O980">
        <v>0</v>
      </c>
    </row>
    <row r="981" spans="5:15" x14ac:dyDescent="0.3">
      <c r="E981">
        <v>0</v>
      </c>
      <c r="G981">
        <v>0</v>
      </c>
      <c r="I981">
        <v>0</v>
      </c>
      <c r="K981">
        <v>0</v>
      </c>
      <c r="M981">
        <v>0</v>
      </c>
      <c r="O981">
        <v>0</v>
      </c>
    </row>
    <row r="982" spans="5:15" x14ac:dyDescent="0.3">
      <c r="E982">
        <v>0</v>
      </c>
      <c r="G982">
        <v>0</v>
      </c>
      <c r="I982">
        <v>0</v>
      </c>
      <c r="K982">
        <v>0</v>
      </c>
      <c r="M982">
        <v>0</v>
      </c>
      <c r="O982">
        <v>0</v>
      </c>
    </row>
    <row r="983" spans="5:15" x14ac:dyDescent="0.3">
      <c r="E983">
        <v>0</v>
      </c>
      <c r="G983">
        <v>0</v>
      </c>
      <c r="I983">
        <v>0</v>
      </c>
      <c r="K983">
        <v>0</v>
      </c>
      <c r="M983">
        <v>0</v>
      </c>
      <c r="O983">
        <v>0</v>
      </c>
    </row>
    <row r="984" spans="5:15" x14ac:dyDescent="0.3">
      <c r="E984">
        <v>0</v>
      </c>
      <c r="G984">
        <v>0</v>
      </c>
      <c r="I984">
        <v>0</v>
      </c>
      <c r="K984">
        <v>0</v>
      </c>
      <c r="M984">
        <v>0</v>
      </c>
      <c r="O984">
        <v>0</v>
      </c>
    </row>
    <row r="985" spans="5:15" x14ac:dyDescent="0.3">
      <c r="E985">
        <v>0</v>
      </c>
      <c r="G985">
        <v>0</v>
      </c>
      <c r="I985">
        <v>0</v>
      </c>
      <c r="K985">
        <v>0</v>
      </c>
      <c r="M985">
        <v>0</v>
      </c>
      <c r="O985">
        <v>0</v>
      </c>
    </row>
    <row r="986" spans="5:15" x14ac:dyDescent="0.3">
      <c r="E986">
        <v>0</v>
      </c>
      <c r="G986">
        <v>0</v>
      </c>
      <c r="I986">
        <v>0</v>
      </c>
      <c r="K986">
        <v>0</v>
      </c>
      <c r="M986">
        <v>0</v>
      </c>
      <c r="O986">
        <v>0</v>
      </c>
    </row>
    <row r="987" spans="5:15" x14ac:dyDescent="0.3">
      <c r="E987">
        <v>0</v>
      </c>
      <c r="G987">
        <v>0</v>
      </c>
      <c r="I987">
        <v>0</v>
      </c>
      <c r="K987">
        <v>0</v>
      </c>
      <c r="M987">
        <v>0</v>
      </c>
      <c r="O987">
        <v>0</v>
      </c>
    </row>
    <row r="988" spans="5:15" x14ac:dyDescent="0.3">
      <c r="E988">
        <v>0</v>
      </c>
      <c r="G988">
        <v>0</v>
      </c>
      <c r="I988">
        <v>0</v>
      </c>
      <c r="K988">
        <v>0</v>
      </c>
      <c r="M988">
        <v>0</v>
      </c>
      <c r="O988">
        <v>0</v>
      </c>
    </row>
    <row r="989" spans="5:15" x14ac:dyDescent="0.3">
      <c r="E989">
        <v>0</v>
      </c>
      <c r="G989">
        <v>0</v>
      </c>
      <c r="I989">
        <v>0</v>
      </c>
      <c r="K989">
        <v>0</v>
      </c>
      <c r="M989">
        <v>0</v>
      </c>
      <c r="O989">
        <v>0</v>
      </c>
    </row>
    <row r="990" spans="5:15" x14ac:dyDescent="0.3">
      <c r="E990">
        <v>0</v>
      </c>
      <c r="G990">
        <v>0</v>
      </c>
      <c r="I990">
        <v>0</v>
      </c>
      <c r="K990">
        <v>0</v>
      </c>
      <c r="M990">
        <v>0</v>
      </c>
      <c r="O990">
        <v>0</v>
      </c>
    </row>
    <row r="991" spans="5:15" x14ac:dyDescent="0.3">
      <c r="E991">
        <v>0</v>
      </c>
      <c r="G991">
        <v>0</v>
      </c>
      <c r="I991">
        <v>0</v>
      </c>
      <c r="K991">
        <v>0</v>
      </c>
      <c r="M991">
        <v>0</v>
      </c>
      <c r="O991">
        <v>0</v>
      </c>
    </row>
    <row r="992" spans="5:15" x14ac:dyDescent="0.3">
      <c r="E992">
        <v>0</v>
      </c>
      <c r="G992">
        <v>0</v>
      </c>
      <c r="I992">
        <v>0</v>
      </c>
      <c r="K992">
        <v>0</v>
      </c>
      <c r="M992">
        <v>0</v>
      </c>
      <c r="O992">
        <v>0</v>
      </c>
    </row>
    <row r="993" spans="5:15" x14ac:dyDescent="0.3">
      <c r="E993">
        <v>0</v>
      </c>
      <c r="G993">
        <v>0</v>
      </c>
      <c r="I993">
        <v>0</v>
      </c>
      <c r="K993">
        <v>0</v>
      </c>
      <c r="M993">
        <v>0</v>
      </c>
      <c r="O993">
        <v>0</v>
      </c>
    </row>
    <row r="994" spans="5:15" x14ac:dyDescent="0.3">
      <c r="E994">
        <v>0</v>
      </c>
      <c r="G994">
        <v>0</v>
      </c>
      <c r="I994">
        <v>0</v>
      </c>
      <c r="K994">
        <v>0</v>
      </c>
      <c r="M994">
        <v>0</v>
      </c>
      <c r="O994">
        <v>0</v>
      </c>
    </row>
    <row r="995" spans="5:15" x14ac:dyDescent="0.3">
      <c r="E995">
        <v>0</v>
      </c>
      <c r="G995">
        <v>0</v>
      </c>
      <c r="I995">
        <v>0</v>
      </c>
      <c r="K995">
        <v>0</v>
      </c>
      <c r="M995">
        <v>0</v>
      </c>
      <c r="O995">
        <v>0</v>
      </c>
    </row>
    <row r="996" spans="5:15" x14ac:dyDescent="0.3">
      <c r="E996">
        <v>0</v>
      </c>
      <c r="G996">
        <v>0</v>
      </c>
      <c r="I996">
        <v>0</v>
      </c>
      <c r="K996">
        <v>0</v>
      </c>
      <c r="M996">
        <v>0</v>
      </c>
      <c r="O996">
        <v>0</v>
      </c>
    </row>
    <row r="997" spans="5:15" x14ac:dyDescent="0.3">
      <c r="E997">
        <v>0</v>
      </c>
      <c r="G997">
        <v>0</v>
      </c>
      <c r="I997">
        <v>0</v>
      </c>
      <c r="K997">
        <v>0</v>
      </c>
      <c r="M997">
        <v>0</v>
      </c>
      <c r="O997">
        <v>0</v>
      </c>
    </row>
    <row r="998" spans="5:15" x14ac:dyDescent="0.3">
      <c r="E998">
        <v>0</v>
      </c>
      <c r="G998">
        <v>0</v>
      </c>
      <c r="I998">
        <v>0</v>
      </c>
      <c r="K998">
        <v>0</v>
      </c>
      <c r="M998">
        <v>0</v>
      </c>
      <c r="O998">
        <v>0</v>
      </c>
    </row>
    <row r="999" spans="5:15" x14ac:dyDescent="0.3">
      <c r="E999">
        <v>0</v>
      </c>
      <c r="G999">
        <v>0</v>
      </c>
      <c r="I999">
        <v>0</v>
      </c>
      <c r="K999">
        <v>0</v>
      </c>
      <c r="M999">
        <v>0</v>
      </c>
      <c r="O999">
        <v>0</v>
      </c>
    </row>
    <row r="1000" spans="5:15" x14ac:dyDescent="0.3">
      <c r="E1000">
        <v>0</v>
      </c>
      <c r="G1000">
        <v>0</v>
      </c>
      <c r="I1000">
        <v>0</v>
      </c>
      <c r="K1000">
        <v>0</v>
      </c>
      <c r="M1000">
        <v>0</v>
      </c>
      <c r="O1000">
        <v>0</v>
      </c>
    </row>
  </sheetData>
  <sortState xmlns:xlrd2="http://schemas.microsoft.com/office/spreadsheetml/2017/richdata2" ref="O7:P104">
    <sortCondition ref="P7:P104"/>
  </sortState>
  <mergeCells count="6">
    <mergeCell ref="O2:P2"/>
    <mergeCell ref="M2:N2"/>
    <mergeCell ref="E2:F2"/>
    <mergeCell ref="G2:H2"/>
    <mergeCell ref="I2:J2"/>
    <mergeCell ref="K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40"/>
  <sheetViews>
    <sheetView topLeftCell="AN5" zoomScale="70" zoomScaleNormal="70" workbookViewId="0">
      <selection activeCell="BF5" sqref="BF5:BG5"/>
    </sheetView>
  </sheetViews>
  <sheetFormatPr baseColWidth="10" defaultRowHeight="14.4" x14ac:dyDescent="0.3"/>
  <cols>
    <col min="1" max="1" width="6.21875" bestFit="1" customWidth="1"/>
    <col min="2" max="2" width="11.88671875" bestFit="1" customWidth="1"/>
    <col min="4" max="4" width="15.33203125" bestFit="1" customWidth="1"/>
    <col min="6" max="12" width="11.5546875" customWidth="1"/>
    <col min="13" max="13" width="6.44140625" style="81" customWidth="1"/>
    <col min="14" max="14" width="6.33203125" bestFit="1" customWidth="1"/>
    <col min="18" max="18" width="14.33203125" customWidth="1"/>
    <col min="19" max="25" width="11.5546875" customWidth="1"/>
    <col min="26" max="26" width="5.88671875" style="81" customWidth="1"/>
    <col min="27" max="27" width="6.33203125" bestFit="1" customWidth="1"/>
    <col min="39" max="39" width="8.6640625" style="81" customWidth="1"/>
    <col min="40" max="40" width="6.33203125" bestFit="1" customWidth="1"/>
    <col min="52" max="52" width="7.33203125" style="81" customWidth="1"/>
    <col min="53" max="53" width="6.33203125" bestFit="1" customWidth="1"/>
    <col min="65" max="65" width="6.44140625" style="81" customWidth="1"/>
    <col min="66" max="66" width="6.33203125" bestFit="1" customWidth="1"/>
    <col min="68" max="68" width="13.6640625" bestFit="1" customWidth="1"/>
  </cols>
  <sheetData>
    <row r="1" spans="1:77" x14ac:dyDescent="0.3">
      <c r="C1" s="3" t="s">
        <v>4</v>
      </c>
      <c r="D1" s="45">
        <f>AVERAGE(D12:D970)</f>
        <v>67.419375864788918</v>
      </c>
      <c r="E1" t="s">
        <v>0</v>
      </c>
      <c r="P1" s="3" t="s">
        <v>4</v>
      </c>
      <c r="Q1" s="45">
        <f>AVERAGE(Q12:Q970)</f>
        <v>74.277147232554896</v>
      </c>
      <c r="R1" t="s">
        <v>0</v>
      </c>
      <c r="AC1" s="3" t="s">
        <v>4</v>
      </c>
      <c r="AD1" s="45">
        <f>AVERAGE(AD12:AD970)</f>
        <v>70.086605588905542</v>
      </c>
      <c r="AE1" t="s">
        <v>0</v>
      </c>
      <c r="AP1" s="3" t="s">
        <v>4</v>
      </c>
      <c r="AQ1" s="45">
        <f>AVERAGE(AQ12:AQ970)</f>
        <v>76.237870076671214</v>
      </c>
      <c r="AR1" t="s">
        <v>0</v>
      </c>
      <c r="BC1" s="3" t="s">
        <v>4</v>
      </c>
      <c r="BD1" s="45">
        <f>AVERAGE(BD12:BD970)</f>
        <v>77.308648441918223</v>
      </c>
      <c r="BE1" t="s">
        <v>0</v>
      </c>
      <c r="BP1" s="3" t="s">
        <v>4</v>
      </c>
      <c r="BQ1" s="45">
        <f>AVERAGE(BQ12:BQ970)</f>
        <v>76.19902257062499</v>
      </c>
      <c r="BR1" t="s">
        <v>0</v>
      </c>
    </row>
    <row r="2" spans="1:77" x14ac:dyDescent="0.3">
      <c r="C2" s="3" t="s">
        <v>5</v>
      </c>
      <c r="D2" s="45">
        <f>VAR(D12:D970)</f>
        <v>979.60794289943715</v>
      </c>
      <c r="E2" t="s">
        <v>1</v>
      </c>
      <c r="P2" s="3" t="s">
        <v>5</v>
      </c>
      <c r="Q2" s="45">
        <f>VAR(Q12:Q970)</f>
        <v>1751.5768099673962</v>
      </c>
      <c r="R2" t="s">
        <v>1</v>
      </c>
      <c r="AC2" s="3" t="s">
        <v>5</v>
      </c>
      <c r="AD2" s="45">
        <f>VAR(AD12:AD970)</f>
        <v>1104.8699382592788</v>
      </c>
      <c r="AE2" t="s">
        <v>1</v>
      </c>
      <c r="AP2" s="3" t="s">
        <v>5</v>
      </c>
      <c r="AQ2" s="45">
        <f>VAR(AQ12:AQ970)</f>
        <v>1894.656832178445</v>
      </c>
      <c r="AR2" t="s">
        <v>1</v>
      </c>
      <c r="BC2" s="3" t="s">
        <v>5</v>
      </c>
      <c r="BD2" s="45">
        <f>VAR(BD12:BD970)</f>
        <v>1687.0958185207978</v>
      </c>
      <c r="BE2" t="s">
        <v>1</v>
      </c>
      <c r="BP2" s="3" t="s">
        <v>5</v>
      </c>
      <c r="BQ2" s="45">
        <f>VAR(BQ12:BQ970)</f>
        <v>1858.5985465836841</v>
      </c>
      <c r="BR2" t="s">
        <v>1</v>
      </c>
    </row>
    <row r="3" spans="1:77" x14ac:dyDescent="0.3">
      <c r="C3" s="1"/>
      <c r="D3" s="74"/>
      <c r="E3" s="1"/>
      <c r="P3" s="1"/>
      <c r="Q3" s="74"/>
      <c r="R3" s="1"/>
      <c r="AC3" s="1"/>
      <c r="AD3" s="74"/>
      <c r="AE3" s="1"/>
      <c r="AP3" s="1"/>
      <c r="AQ3" s="74"/>
      <c r="AR3" s="1"/>
      <c r="BC3" s="1"/>
      <c r="BD3" s="74"/>
      <c r="BE3" s="1"/>
      <c r="BP3" s="1"/>
      <c r="BQ3" s="74"/>
      <c r="BR3" s="1"/>
    </row>
    <row r="4" spans="1:77" x14ac:dyDescent="0.3">
      <c r="C4" s="3" t="s">
        <v>6</v>
      </c>
      <c r="D4" s="45">
        <f>SQRT(6/PI()^2*D2)</f>
        <v>24.403487817933723</v>
      </c>
      <c r="E4" t="s">
        <v>0</v>
      </c>
      <c r="P4" s="3" t="s">
        <v>6</v>
      </c>
      <c r="Q4" s="45">
        <f>SQRT(6/PI()^2*Q2)</f>
        <v>32.631748555022305</v>
      </c>
      <c r="R4" t="s">
        <v>0</v>
      </c>
      <c r="AC4" s="3" t="s">
        <v>6</v>
      </c>
      <c r="AD4" s="45">
        <f>SQRT(6/PI()^2*AD2)</f>
        <v>25.916797246025613</v>
      </c>
      <c r="AE4" t="s">
        <v>0</v>
      </c>
      <c r="AP4" s="3" t="s">
        <v>6</v>
      </c>
      <c r="AQ4" s="45">
        <f>SQRT(6/PI()^2*AQ2)</f>
        <v>33.938374106520968</v>
      </c>
      <c r="AR4" t="s">
        <v>0</v>
      </c>
      <c r="BC4" s="3" t="s">
        <v>6</v>
      </c>
      <c r="BD4" s="45">
        <f>SQRT(6/PI()^2*BD2)</f>
        <v>32.025478474230411</v>
      </c>
      <c r="BE4" t="s">
        <v>0</v>
      </c>
      <c r="BP4" s="3" t="s">
        <v>6</v>
      </c>
      <c r="BQ4" s="45">
        <f>SQRT(6/PI()^2*BQ2)</f>
        <v>33.613872551890317</v>
      </c>
      <c r="BR4" t="s">
        <v>0</v>
      </c>
    </row>
    <row r="5" spans="1:77" x14ac:dyDescent="0.3">
      <c r="C5" s="3" t="s">
        <v>7</v>
      </c>
      <c r="D5" s="45">
        <f>D1-D4*0.5772156649</f>
        <v>53.333300418081251</v>
      </c>
      <c r="E5" t="s">
        <v>0</v>
      </c>
      <c r="P5" s="3" t="s">
        <v>7</v>
      </c>
      <c r="Q5" s="45">
        <f>Q1-Q4*0.5772156649</f>
        <v>55.441590793518081</v>
      </c>
      <c r="R5" t="s">
        <v>0</v>
      </c>
      <c r="AC5" s="3" t="s">
        <v>7</v>
      </c>
      <c r="AD5" s="45">
        <f>AD1-AD4*0.5772156649</f>
        <v>55.127024234462382</v>
      </c>
      <c r="AE5" t="s">
        <v>0</v>
      </c>
      <c r="AP5" s="3" t="s">
        <v>7</v>
      </c>
      <c r="AQ5" s="45">
        <f>AQ1-AQ4*0.5772156649</f>
        <v>56.648108901150771</v>
      </c>
      <c r="AR5" t="s">
        <v>0</v>
      </c>
      <c r="BC5" s="3" t="s">
        <v>7</v>
      </c>
      <c r="BD5" s="45">
        <f>BD1-BD4*0.5772156649</f>
        <v>58.82304059067468</v>
      </c>
      <c r="BE5" t="s">
        <v>0</v>
      </c>
      <c r="BP5" s="3" t="s">
        <v>7</v>
      </c>
      <c r="BQ5" s="45">
        <f>BQ1-BQ4*0.5772156649</f>
        <v>56.796568775721767</v>
      </c>
      <c r="BR5" t="s">
        <v>0</v>
      </c>
    </row>
    <row r="6" spans="1:77" x14ac:dyDescent="0.3">
      <c r="A6" s="1"/>
      <c r="B6" s="1"/>
      <c r="C6" s="1"/>
      <c r="D6" s="1"/>
      <c r="E6" s="1"/>
      <c r="Q6" s="1"/>
      <c r="AE6" s="1"/>
      <c r="BE6" s="1"/>
      <c r="BR6" s="1"/>
    </row>
    <row r="7" spans="1:77" x14ac:dyDescent="0.3">
      <c r="A7" s="1"/>
      <c r="B7" s="1"/>
      <c r="C7" s="1"/>
      <c r="D7" s="2" t="str">
        <f>Max_An_non_triee!E2</f>
        <v>r1</v>
      </c>
      <c r="E7" s="1"/>
      <c r="N7" s="1"/>
      <c r="O7" s="1"/>
      <c r="P7" s="1"/>
      <c r="Q7" s="2" t="str">
        <f>Max_An_non_triee!G2</f>
        <v>r10</v>
      </c>
      <c r="R7" s="1"/>
      <c r="AA7" s="1"/>
      <c r="AB7" s="1"/>
      <c r="AC7" s="1"/>
      <c r="AD7" s="2" t="str">
        <f>Max_An_non_triee!I2</f>
        <v>r2</v>
      </c>
      <c r="AE7" s="1"/>
      <c r="AN7" s="1"/>
      <c r="AO7" s="1"/>
      <c r="AP7" s="1"/>
      <c r="AQ7" s="2" t="str">
        <f>Max_An_non_triee!K2</f>
        <v>r3</v>
      </c>
      <c r="AR7" s="1"/>
      <c r="BA7" s="1"/>
      <c r="BB7" s="1"/>
      <c r="BC7" s="1"/>
      <c r="BD7" s="2" t="str">
        <f>Max_An_non_triee!M2</f>
        <v>r4</v>
      </c>
      <c r="BP7" s="1"/>
      <c r="BQ7" s="2" t="str">
        <f>Max_An_non_triee!O2</f>
        <v>r5</v>
      </c>
      <c r="BR7" s="1" t="s">
        <v>54</v>
      </c>
    </row>
    <row r="8" spans="1:77" x14ac:dyDescent="0.3">
      <c r="A8" s="1"/>
      <c r="B8" s="1"/>
      <c r="C8" s="54" t="s">
        <v>37</v>
      </c>
      <c r="D8" s="54">
        <f>COUNT(D12:D970)</f>
        <v>20</v>
      </c>
      <c r="E8" s="1"/>
      <c r="N8" s="1"/>
      <c r="O8" s="1"/>
      <c r="P8" s="54" t="s">
        <v>37</v>
      </c>
      <c r="Q8" s="54">
        <f>COUNT(Q12:Q970)</f>
        <v>20</v>
      </c>
      <c r="R8" s="1"/>
      <c r="AA8" s="1"/>
      <c r="AB8" s="1"/>
      <c r="AC8" s="54" t="s">
        <v>37</v>
      </c>
      <c r="AD8" s="54">
        <f>COUNT(AD12:AD970)</f>
        <v>20</v>
      </c>
      <c r="AE8" s="1"/>
      <c r="AN8" s="1"/>
      <c r="AO8" s="1"/>
      <c r="AP8" s="54" t="s">
        <v>37</v>
      </c>
      <c r="AQ8" s="54">
        <f>COUNT(AQ12:AQ970)</f>
        <v>20</v>
      </c>
      <c r="AR8" s="1"/>
      <c r="BA8" s="1"/>
      <c r="BB8" s="1"/>
      <c r="BC8" s="54" t="s">
        <v>37</v>
      </c>
      <c r="BD8" s="54">
        <f>COUNT(BD12:BD970)</f>
        <v>20</v>
      </c>
      <c r="BE8" s="1"/>
      <c r="BN8" s="1"/>
      <c r="BO8" s="1"/>
      <c r="BP8" s="54" t="s">
        <v>37</v>
      </c>
      <c r="BQ8" s="54">
        <f>COUNT(BQ12:BQ970)</f>
        <v>20</v>
      </c>
      <c r="BR8" s="1"/>
    </row>
    <row r="9" spans="1:77" ht="62.25" customHeight="1" x14ac:dyDescent="0.3">
      <c r="A9" s="72" t="s">
        <v>2</v>
      </c>
      <c r="B9" s="73" t="s">
        <v>9</v>
      </c>
      <c r="C9" s="73" t="s">
        <v>3</v>
      </c>
      <c r="D9" s="73" t="str">
        <f>_xlfn.CONCAT(D7,"_obs")</f>
        <v>r1_obs</v>
      </c>
      <c r="E9" s="73" t="str">
        <f>_xlfn.CONCAT(D7,"_ajust")</f>
        <v>r1_ajust</v>
      </c>
      <c r="N9" s="72" t="s">
        <v>2</v>
      </c>
      <c r="O9" s="73" t="s">
        <v>9</v>
      </c>
      <c r="P9" s="73" t="s">
        <v>3</v>
      </c>
      <c r="Q9" s="73" t="str">
        <f>_xlfn.CONCAT(Q7,"_obs")</f>
        <v>r10_obs</v>
      </c>
      <c r="R9" s="73" t="str">
        <f>_xlfn.CONCAT(Q7,"_ajust")</f>
        <v>r10_ajust</v>
      </c>
      <c r="AA9" s="72" t="s">
        <v>2</v>
      </c>
      <c r="AB9" s="73" t="s">
        <v>9</v>
      </c>
      <c r="AC9" s="73" t="s">
        <v>3</v>
      </c>
      <c r="AD9" s="73" t="str">
        <f>_xlfn.CONCAT(AD7,"_obs")</f>
        <v>r2_obs</v>
      </c>
      <c r="AE9" s="73" t="str">
        <f>_xlfn.CONCAT(AD7,"_ajust")</f>
        <v>r2_ajust</v>
      </c>
      <c r="AN9" s="72" t="s">
        <v>2</v>
      </c>
      <c r="AO9" s="73" t="s">
        <v>9</v>
      </c>
      <c r="AP9" s="73" t="s">
        <v>3</v>
      </c>
      <c r="AQ9" s="73" t="str">
        <f>_xlfn.CONCAT(AQ7,"_obs")</f>
        <v>r3_obs</v>
      </c>
      <c r="AR9" s="73" t="str">
        <f>_xlfn.CONCAT(AQ7,"_ajust")</f>
        <v>r3_ajust</v>
      </c>
      <c r="BA9" s="72" t="s">
        <v>2</v>
      </c>
      <c r="BB9" s="73" t="s">
        <v>9</v>
      </c>
      <c r="BC9" s="73" t="s">
        <v>3</v>
      </c>
      <c r="BD9" s="73" t="str">
        <f>_xlfn.CONCAT(BD7,"_obs")</f>
        <v>r4_obs</v>
      </c>
      <c r="BE9" s="73" t="str">
        <f>_xlfn.CONCAT(BD7,"_ajust")</f>
        <v>r4_ajust</v>
      </c>
      <c r="BN9" s="72" t="s">
        <v>2</v>
      </c>
      <c r="BO9" s="73" t="s">
        <v>9</v>
      </c>
      <c r="BP9" s="73" t="s">
        <v>3</v>
      </c>
      <c r="BQ9" s="73" t="str">
        <f>_xlfn.CONCAT(BQ7,"_obs")</f>
        <v>r5_obs</v>
      </c>
      <c r="BR9" s="73" t="str">
        <f>_xlfn.CONCAT(BQ7,"_ajust")</f>
        <v>r5_ajust</v>
      </c>
    </row>
    <row r="10" spans="1:77" x14ac:dyDescent="0.3">
      <c r="A10" s="1" t="s">
        <v>1</v>
      </c>
      <c r="B10" s="1" t="s">
        <v>1</v>
      </c>
      <c r="C10" s="1" t="s">
        <v>1</v>
      </c>
      <c r="D10" s="1" t="s">
        <v>0</v>
      </c>
      <c r="E10" s="1" t="s">
        <v>0</v>
      </c>
      <c r="F10" s="89" t="s">
        <v>31</v>
      </c>
      <c r="G10" s="89"/>
      <c r="H10" s="89"/>
      <c r="I10" s="1"/>
      <c r="J10" s="1"/>
      <c r="K10" s="1"/>
      <c r="L10" s="1"/>
      <c r="N10" s="1" t="s">
        <v>1</v>
      </c>
      <c r="O10" s="1" t="s">
        <v>1</v>
      </c>
      <c r="P10" s="1" t="s">
        <v>1</v>
      </c>
      <c r="Q10" s="1" t="s">
        <v>0</v>
      </c>
      <c r="R10" s="1" t="s">
        <v>0</v>
      </c>
      <c r="S10" s="89" t="s">
        <v>31</v>
      </c>
      <c r="T10" s="89"/>
      <c r="U10" s="89"/>
      <c r="V10" s="1"/>
      <c r="W10" s="1"/>
      <c r="X10" s="1"/>
      <c r="Y10" s="1"/>
      <c r="AA10" s="1" t="s">
        <v>1</v>
      </c>
      <c r="AB10" s="1" t="s">
        <v>1</v>
      </c>
      <c r="AC10" s="1" t="s">
        <v>1</v>
      </c>
      <c r="AD10" s="1" t="s">
        <v>0</v>
      </c>
      <c r="AE10" s="1" t="s">
        <v>0</v>
      </c>
      <c r="AF10" s="89" t="s">
        <v>31</v>
      </c>
      <c r="AG10" s="89"/>
      <c r="AH10" s="89"/>
      <c r="AI10" s="1"/>
      <c r="AJ10" s="1"/>
      <c r="AK10" s="1"/>
      <c r="AL10" s="1"/>
      <c r="AN10" s="1" t="s">
        <v>1</v>
      </c>
      <c r="AO10" s="1" t="s">
        <v>1</v>
      </c>
      <c r="AP10" s="1" t="s">
        <v>1</v>
      </c>
      <c r="AQ10" s="1" t="s">
        <v>0</v>
      </c>
      <c r="AR10" s="1" t="s">
        <v>0</v>
      </c>
      <c r="AS10" s="89" t="s">
        <v>31</v>
      </c>
      <c r="AT10" s="89"/>
      <c r="AU10" s="89"/>
      <c r="AV10" s="1"/>
      <c r="AW10" s="1"/>
      <c r="AX10" s="1"/>
      <c r="AY10" s="1"/>
      <c r="BA10" s="1" t="s">
        <v>1</v>
      </c>
      <c r="BB10" s="1" t="s">
        <v>1</v>
      </c>
      <c r="BC10" s="1" t="s">
        <v>1</v>
      </c>
      <c r="BD10" s="1" t="s">
        <v>0</v>
      </c>
      <c r="BE10" s="1" t="s">
        <v>0</v>
      </c>
      <c r="BF10" s="89" t="s">
        <v>31</v>
      </c>
      <c r="BG10" s="89"/>
      <c r="BH10" s="89"/>
      <c r="BI10" s="1"/>
      <c r="BJ10" s="1"/>
      <c r="BK10" s="1"/>
      <c r="BL10" s="1"/>
      <c r="BN10" s="1" t="s">
        <v>1</v>
      </c>
      <c r="BO10" s="1" t="s">
        <v>1</v>
      </c>
      <c r="BP10" s="1" t="s">
        <v>1</v>
      </c>
      <c r="BQ10" s="1" t="s">
        <v>0</v>
      </c>
      <c r="BR10" s="1" t="s">
        <v>0</v>
      </c>
      <c r="BS10" s="82" t="s">
        <v>31</v>
      </c>
      <c r="BT10" s="58"/>
      <c r="BU10" s="58"/>
      <c r="BV10" s="1"/>
      <c r="BW10" s="1"/>
      <c r="BX10" s="1"/>
      <c r="BY10" s="1"/>
    </row>
    <row r="11" spans="1:77" ht="15.6" x14ac:dyDescent="0.35">
      <c r="A11" s="1"/>
      <c r="B11" s="1"/>
      <c r="C11" s="1"/>
      <c r="E11" s="1"/>
      <c r="F11" s="46" t="s">
        <v>32</v>
      </c>
      <c r="G11" s="47" t="s">
        <v>33</v>
      </c>
      <c r="H11" s="48" t="s">
        <v>34</v>
      </c>
      <c r="I11" s="49" t="s">
        <v>35</v>
      </c>
      <c r="J11" s="49" t="str">
        <f>_xlfn.CONCAT("5%_",D7)</f>
        <v>5%_r1</v>
      </c>
      <c r="K11" s="49" t="str">
        <f>_xlfn.CONCAT("95%_",D7)</f>
        <v>95%_r1</v>
      </c>
      <c r="L11" s="49" t="s">
        <v>36</v>
      </c>
      <c r="N11" s="1"/>
      <c r="O11" s="1"/>
      <c r="P11" s="1"/>
      <c r="R11" s="1"/>
      <c r="S11" s="46" t="s">
        <v>32</v>
      </c>
      <c r="T11" s="47" t="s">
        <v>33</v>
      </c>
      <c r="U11" s="48" t="s">
        <v>34</v>
      </c>
      <c r="V11" s="49" t="s">
        <v>35</v>
      </c>
      <c r="W11" s="49" t="str">
        <f>_xlfn.CONCAT("5%_",Q7)</f>
        <v>5%_r10</v>
      </c>
      <c r="X11" s="49" t="str">
        <f>_xlfn.CONCAT("95%_",Q7)</f>
        <v>95%_r10</v>
      </c>
      <c r="Y11" s="49" t="s">
        <v>36</v>
      </c>
      <c r="AA11" s="1"/>
      <c r="AB11" s="1"/>
      <c r="AC11" s="1"/>
      <c r="AE11" s="1"/>
      <c r="AF11" s="46" t="s">
        <v>32</v>
      </c>
      <c r="AG11" s="47" t="s">
        <v>33</v>
      </c>
      <c r="AH11" s="48" t="s">
        <v>34</v>
      </c>
      <c r="AI11" s="49" t="s">
        <v>35</v>
      </c>
      <c r="AJ11" s="49" t="str">
        <f>_xlfn.CONCAT("5%_",AD7)</f>
        <v>5%_r2</v>
      </c>
      <c r="AK11" s="49" t="str">
        <f>_xlfn.CONCAT("95%_",AD7)</f>
        <v>95%_r2</v>
      </c>
      <c r="AL11" s="49" t="s">
        <v>36</v>
      </c>
      <c r="AN11" s="1"/>
      <c r="AO11" s="1"/>
      <c r="AP11" s="1"/>
      <c r="AR11" s="1"/>
      <c r="AS11" s="46" t="s">
        <v>32</v>
      </c>
      <c r="AT11" s="47" t="s">
        <v>33</v>
      </c>
      <c r="AU11" s="48" t="s">
        <v>34</v>
      </c>
      <c r="AV11" s="49" t="s">
        <v>35</v>
      </c>
      <c r="AW11" s="49" t="str">
        <f>_xlfn.CONCAT("5%_",AQ7)</f>
        <v>5%_r3</v>
      </c>
      <c r="AX11" s="49" t="str">
        <f>_xlfn.CONCAT("95%_",AQ7)</f>
        <v>95%_r3</v>
      </c>
      <c r="AY11" s="49" t="s">
        <v>36</v>
      </c>
      <c r="BA11" s="1"/>
      <c r="BB11" s="1"/>
      <c r="BC11" s="1"/>
      <c r="BE11" s="1"/>
      <c r="BF11" s="46" t="s">
        <v>32</v>
      </c>
      <c r="BG11" s="47" t="s">
        <v>33</v>
      </c>
      <c r="BH11" s="48" t="s">
        <v>34</v>
      </c>
      <c r="BI11" s="49" t="s">
        <v>35</v>
      </c>
      <c r="BJ11" s="49" t="str">
        <f>_xlfn.CONCAT("5%_",BD7)</f>
        <v>5%_r4</v>
      </c>
      <c r="BK11" s="49" t="str">
        <f>_xlfn.CONCAT("95%_",BD7)</f>
        <v>95%_r4</v>
      </c>
      <c r="BL11" s="49" t="s">
        <v>36</v>
      </c>
      <c r="BN11" s="1"/>
      <c r="BO11" s="1"/>
      <c r="BP11" s="1"/>
      <c r="BQ11" t="s">
        <v>55</v>
      </c>
      <c r="BR11" s="1" t="s">
        <v>56</v>
      </c>
      <c r="BS11" s="46" t="s">
        <v>32</v>
      </c>
      <c r="BT11" s="47" t="s">
        <v>33</v>
      </c>
      <c r="BU11" s="48" t="s">
        <v>34</v>
      </c>
      <c r="BV11" s="49" t="s">
        <v>35</v>
      </c>
      <c r="BW11" s="49" t="str">
        <f>_xlfn.CONCAT("5%_",BQ7)</f>
        <v>5%_r5</v>
      </c>
      <c r="BX11" s="49" t="str">
        <f>_xlfn.CONCAT("95%_",BQ7)</f>
        <v>95%_r5</v>
      </c>
      <c r="BY11" s="49" t="s">
        <v>36</v>
      </c>
    </row>
    <row r="12" spans="1:77" x14ac:dyDescent="0.3">
      <c r="A12" s="9">
        <f t="shared" ref="A12:A43" si="0">RANK(D12,D$12:D$970,1)</f>
        <v>1</v>
      </c>
      <c r="B12" s="10">
        <f t="shared" ref="B12:B31" si="1">(A12-0.5)/COUNT(A$12:A$970)</f>
        <v>2.5000000000000001E-2</v>
      </c>
      <c r="C12" s="11">
        <f>-LN(-LN(B12))</f>
        <v>-1.3053227409632366</v>
      </c>
      <c r="D12">
        <f>'Valeurs Maximales Annuelles'!F7</f>
        <v>26.361986864358201</v>
      </c>
      <c r="E12" s="12">
        <f>D$5+C12*D$4</f>
        <v>21.47887281051305</v>
      </c>
      <c r="F12" s="50">
        <f>1/(1-G12)</f>
        <v>1.0101010101010102</v>
      </c>
      <c r="G12" s="51">
        <v>0.01</v>
      </c>
      <c r="H12" s="51">
        <f t="shared" ref="H12:H45" si="2">D$5-D$4*LN(-LN(G12))</f>
        <v>16.064791023881554</v>
      </c>
      <c r="I12" s="51">
        <f t="shared" ref="I12:I45" si="3">-LN(-LN(G12))</f>
        <v>-1.5271796258079011</v>
      </c>
      <c r="J12" s="51">
        <f>H12-L12*1.96</f>
        <v>-4.2888641231317806</v>
      </c>
      <c r="K12" s="51">
        <f>H12+L12*1.96</f>
        <v>36.418446170894889</v>
      </c>
      <c r="L12" s="51">
        <f>(STDEV(D$12:D$1000)/SQRT(D$8-1))*SQRT(0.7099+0.1165*I12+0.6687*I12*I12)</f>
        <v>10.384517932149661</v>
      </c>
      <c r="N12" s="9">
        <f t="shared" ref="N12:N43" si="4">RANK(Q12,Q$12:Q$970,1)</f>
        <v>1</v>
      </c>
      <c r="O12" s="10">
        <f t="shared" ref="O12:O31" si="5">(N12-0.5)/COUNT(N$12:N$970)</f>
        <v>2.5000000000000001E-2</v>
      </c>
      <c r="P12" s="11">
        <f>-LN(-LN(O12))</f>
        <v>-1.3053227409632366</v>
      </c>
      <c r="Q12" s="32">
        <f>'Valeurs Maximales Annuelles'!H7</f>
        <v>31.716583650559201</v>
      </c>
      <c r="R12" s="12">
        <f>Q$5+P12*Q$4</f>
        <v>12.846627327253231</v>
      </c>
      <c r="S12" s="50">
        <f>1/(1-T12)</f>
        <v>1.0101010101010102</v>
      </c>
      <c r="T12" s="51">
        <v>0.01</v>
      </c>
      <c r="U12" s="51">
        <f t="shared" ref="U12:U45" si="6">Q$5-Q$4*LN(-LN(T12))</f>
        <v>5.6070492458015977</v>
      </c>
      <c r="V12" s="51">
        <f t="shared" ref="V12:V45" si="7">-LN(-LN(T12))</f>
        <v>-1.5271796258079011</v>
      </c>
      <c r="W12" s="51">
        <f>U12-Y12*1.96</f>
        <v>-21.609361862650001</v>
      </c>
      <c r="X12" s="51">
        <f>U12+Y12*1.96</f>
        <v>32.8234603542532</v>
      </c>
      <c r="Y12" s="51">
        <f>(STDEV(Q$12:Q$1000)/SQRT(Q$8-1))*SQRT(0.7099+0.1165*V12+0.6687*V12*V12)</f>
        <v>13.885924034924285</v>
      </c>
      <c r="AA12" s="9">
        <f t="shared" ref="AA12:AA43" si="8">RANK(AD12,AD$12:AD$970,1)</f>
        <v>1</v>
      </c>
      <c r="AB12" s="10">
        <f t="shared" ref="AB12:AB31" si="9">(AA12-0.5)/COUNT(AA$12:AA$970)</f>
        <v>2.5000000000000001E-2</v>
      </c>
      <c r="AC12" s="11">
        <f>-LN(-LN(AB12))</f>
        <v>-1.3053227409632366</v>
      </c>
      <c r="AD12" s="32">
        <f>'Valeurs Maximales Annuelles'!J7</f>
        <v>39.533421155065298</v>
      </c>
      <c r="AE12" s="12">
        <f>AD$5+AC12*AD$4</f>
        <v>21.297239416291767</v>
      </c>
      <c r="AF12" s="50">
        <f>1/(1-AG12)</f>
        <v>1.0101010101010102</v>
      </c>
      <c r="AG12" s="51">
        <v>0.01</v>
      </c>
      <c r="AH12" s="51">
        <f t="shared" ref="AH12:AH45" si="10">AD$5-AD$4*LN(-LN(AG12))</f>
        <v>15.547419514137744</v>
      </c>
      <c r="AI12" s="51">
        <f t="shared" ref="AI12:AI45" si="11">-LN(-LN(AG12))</f>
        <v>-1.5271796258079011</v>
      </c>
      <c r="AJ12" s="51">
        <f>AH12-AL12*1.96</f>
        <v>-6.0684067807010571</v>
      </c>
      <c r="AK12" s="51">
        <f>AH12+AL12*1.96</f>
        <v>37.163245808976541</v>
      </c>
      <c r="AL12" s="51">
        <f>(STDEV(AD$12:AD$1000)/SQRT(AD$8-1))*SQRT(0.7099+0.1165*AI12+0.6687*AI12*AI12)</f>
        <v>11.028482803489185</v>
      </c>
      <c r="AN12" s="9">
        <f t="shared" ref="AN12:AN43" si="12">RANK(AQ12,AQ$12:AQ$970,1)</f>
        <v>1</v>
      </c>
      <c r="AO12" s="10">
        <f t="shared" ref="AO12:AO43" si="13">(AN12-0.5)/COUNT(AN$12:AN$970)</f>
        <v>2.5000000000000001E-2</v>
      </c>
      <c r="AP12" s="11">
        <f>-LN(-LN(AO12))</f>
        <v>-1.3053227409632366</v>
      </c>
      <c r="AQ12">
        <f>'Valeurs Maximales Annuelles'!L7</f>
        <v>32.911837678402698</v>
      </c>
      <c r="AR12" s="12">
        <f>AQ$5+AP12*AQ$4</f>
        <v>12.347577388591084</v>
      </c>
      <c r="AS12" s="50">
        <f>1/(1-AT12)</f>
        <v>1.0101010101010102</v>
      </c>
      <c r="AT12" s="51">
        <v>0.01</v>
      </c>
      <c r="AU12" s="51">
        <f t="shared" ref="AU12:AU45" si="14">AQ$5-AQ$4*LN(-LN(AT12))</f>
        <v>4.8181154326255182</v>
      </c>
      <c r="AV12" s="51">
        <f t="shared" ref="AV12:AV45" si="15">-LN(-LN(AT12))</f>
        <v>-1.5271796258079011</v>
      </c>
      <c r="AW12" s="51">
        <f>AU12-AY12*1.96</f>
        <v>-23.488082761995621</v>
      </c>
      <c r="AX12" s="51">
        <f>AU12+AY12*1.96</f>
        <v>33.124313627246657</v>
      </c>
      <c r="AY12" s="51">
        <f>(STDEV(AQ$12:AQ$1000)/SQRT(AQ$8-1))*SQRT(0.7099+0.1165*AV12+0.6687*AV12*AV12)</f>
        <v>14.441937854398541</v>
      </c>
      <c r="BA12" s="9">
        <f t="shared" ref="BA12:BA43" si="16">RANK(BD12,BD$12:BD$970,1)</f>
        <v>1</v>
      </c>
      <c r="BB12" s="10">
        <f t="shared" ref="BB12:BB43" si="17">(BA12-0.5)/COUNT(BA$12:BA$970)</f>
        <v>2.5000000000000001E-2</v>
      </c>
      <c r="BC12" s="11">
        <f>-LN(-LN(BB12))</f>
        <v>-1.3053227409632366</v>
      </c>
      <c r="BD12">
        <f>'Valeurs Maximales Annuelles'!N7</f>
        <v>34.6136228553951</v>
      </c>
      <c r="BE12" s="12">
        <f t="shared" ref="BE12:BE43" si="18">BD$5+BC12*BD$4</f>
        <v>17.019455248033104</v>
      </c>
      <c r="BF12" s="50">
        <f>1/(1-BG12)</f>
        <v>1.0101010101010102</v>
      </c>
      <c r="BG12" s="51">
        <v>0.01</v>
      </c>
      <c r="BH12" s="51">
        <f t="shared" ref="BH12:BH45" si="19">BD$5-BD$4*LN(-LN(BG12))</f>
        <v>9.9143823580804877</v>
      </c>
      <c r="BI12" s="51">
        <f t="shared" ref="BI12:BI45" si="20">-LN(-LN(BG12))</f>
        <v>-1.5271796258079011</v>
      </c>
      <c r="BJ12" s="51">
        <f>BH12-BL12*1.96</f>
        <v>-16.796371024620868</v>
      </c>
      <c r="BK12" s="51">
        <f>BH12+BL12*1.96</f>
        <v>36.625135740781843</v>
      </c>
      <c r="BL12" s="51">
        <f>(STDEV(BD$12:BD$1000)/SQRT(BD$8-1))*SQRT(0.7099+0.1165*BI12+0.6687*BI12*BI12)</f>
        <v>13.627935399337426</v>
      </c>
      <c r="BN12" s="9">
        <f t="shared" ref="BN12:BN43" si="21">RANK(BQ12,BQ$12:BQ$970,1)</f>
        <v>1</v>
      </c>
      <c r="BO12" s="10">
        <f t="shared" ref="BO12:BO43" si="22">(BN12-0.5)/COUNT(BN$12:BN$970)</f>
        <v>2.5000000000000001E-2</v>
      </c>
      <c r="BP12" s="11">
        <f>-LN(-LN(BO12))</f>
        <v>-1.3053227409632366</v>
      </c>
      <c r="BQ12">
        <f>'Valeurs Maximales Annuelles'!P7</f>
        <v>31.750242188572901</v>
      </c>
      <c r="BR12" s="12">
        <f t="shared" ref="BR12:BR43" si="23">BQ$5+BP12*BQ$4</f>
        <v>12.919616521899393</v>
      </c>
      <c r="BS12" s="50">
        <f>1/(1-BT12)</f>
        <v>1.0101010101010102</v>
      </c>
      <c r="BT12" s="51">
        <v>0.01</v>
      </c>
      <c r="BU12" s="51">
        <f t="shared" ref="BU12:BU45" si="24">BQ$5-BQ$4*LN(-LN(BT12))</f>
        <v>5.4621474699714341</v>
      </c>
      <c r="BV12" s="51">
        <f t="shared" ref="BV12:BV45" si="25">-LN(-LN(BT12))</f>
        <v>-1.5271796258079011</v>
      </c>
      <c r="BW12" s="51">
        <f>BU12-BY12*1.96</f>
        <v>-22.573401185251971</v>
      </c>
      <c r="BX12" s="51">
        <f>BU12+BY12*1.96</f>
        <v>33.497696125194835</v>
      </c>
      <c r="BY12" s="51">
        <f>(STDEV(BQ$12:BQ$1000)/SQRT(BQ$8-1))*SQRT(0.7099+0.1165*BV12+0.6687*BV12*BV12)</f>
        <v>14.303851354705818</v>
      </c>
    </row>
    <row r="13" spans="1:77" x14ac:dyDescent="0.3">
      <c r="A13" s="9">
        <f t="shared" si="0"/>
        <v>2</v>
      </c>
      <c r="B13" s="10">
        <f t="shared" si="1"/>
        <v>7.4999999999999997E-2</v>
      </c>
      <c r="C13" s="11">
        <f t="shared" ref="C13:C31" si="26">-LN(-LN(B13))</f>
        <v>-0.95176102307336075</v>
      </c>
      <c r="D13">
        <f>'Valeurs Maximales Annuelles'!F8</f>
        <v>32.869200613349697</v>
      </c>
      <c r="E13" s="12">
        <f t="shared" ref="E13:E76" si="27">D$5+C13*D$4</f>
        <v>30.107011885926354</v>
      </c>
      <c r="F13" s="50">
        <f t="shared" ref="F13:F32" si="28">1/(1-G13)</f>
        <v>1.0526315789473684</v>
      </c>
      <c r="G13" s="51">
        <v>0.05</v>
      </c>
      <c r="H13" s="51">
        <f t="shared" si="2"/>
        <v>26.558069334750691</v>
      </c>
      <c r="I13" s="51">
        <f t="shared" si="3"/>
        <v>-1.0971887003649488</v>
      </c>
      <c r="J13" s="51">
        <f t="shared" ref="J13:J45" si="29">H13-L13*1.96</f>
        <v>9.9830046013372495</v>
      </c>
      <c r="K13" s="51">
        <f t="shared" ref="K13:K45" si="30">H13+L13*1.96</f>
        <v>43.133134068164132</v>
      </c>
      <c r="L13" s="51">
        <f t="shared" ref="L13:L45" si="31">(STDEV(D$12:D$1000)/SQRT(D$8-1))*SQRT(0.7099+0.1165*I13+0.6687*I13*I13)</f>
        <v>8.4566656803129803</v>
      </c>
      <c r="N13" s="9">
        <f t="shared" si="4"/>
        <v>2</v>
      </c>
      <c r="O13" s="10">
        <f t="shared" si="5"/>
        <v>7.4999999999999997E-2</v>
      </c>
      <c r="P13" s="11">
        <f t="shared" ref="P13:P31" si="32">-LN(-LN(O13))</f>
        <v>-0.95176102307336075</v>
      </c>
      <c r="Q13" s="32">
        <f>'Valeurs Maximales Annuelles'!H8</f>
        <v>42.476168721914298</v>
      </c>
      <c r="R13" s="12">
        <f t="shared" ref="R13:R76" si="33">Q$5+P13*Q$4</f>
        <v>24.383964404117389</v>
      </c>
      <c r="S13" s="50">
        <f t="shared" ref="S13:S32" si="34">1/(1-T13)</f>
        <v>1.0526315789473684</v>
      </c>
      <c r="T13" s="51">
        <v>0.05</v>
      </c>
      <c r="U13" s="51">
        <f t="shared" si="6"/>
        <v>19.638405005797367</v>
      </c>
      <c r="V13" s="51">
        <f t="shared" si="7"/>
        <v>-1.0971887003649488</v>
      </c>
      <c r="W13" s="51">
        <f t="shared" ref="W13:W45" si="35">U13-Y13*1.96</f>
        <v>-2.5253671852615796</v>
      </c>
      <c r="X13" s="51">
        <f t="shared" ref="X13:X45" si="36">U13+Y13*1.96</f>
        <v>41.802177196856313</v>
      </c>
      <c r="Y13" s="51">
        <f t="shared" ref="Y13:Y45" si="37">(STDEV(Q$12:Q$1000)/SQRT(Q$8-1))*SQRT(0.7099+0.1165*V13+0.6687*V13*V13)</f>
        <v>11.308047036254564</v>
      </c>
      <c r="AA13" s="9">
        <f t="shared" si="8"/>
        <v>2</v>
      </c>
      <c r="AB13" s="10">
        <f t="shared" si="9"/>
        <v>7.4999999999999997E-2</v>
      </c>
      <c r="AC13" s="11">
        <f t="shared" ref="AC13:AC31" si="38">-LN(-LN(AB13))</f>
        <v>-0.95176102307336075</v>
      </c>
      <c r="AD13" s="32">
        <f>'Valeurs Maximales Annuelles'!J8</f>
        <v>42.571262251585701</v>
      </c>
      <c r="AE13" s="12">
        <f t="shared" ref="AE13:AE76" si="39">AD$5+AC13*AD$4</f>
        <v>30.460426772800187</v>
      </c>
      <c r="AF13" s="50">
        <f t="shared" ref="AF13:AF32" si="40">1/(1-AG13)</f>
        <v>1.0526315789473684</v>
      </c>
      <c r="AG13" s="51">
        <v>0.05</v>
      </c>
      <c r="AH13" s="51">
        <f t="shared" si="10"/>
        <v>26.691407146473658</v>
      </c>
      <c r="AI13" s="51">
        <f t="shared" si="11"/>
        <v>-1.0971887003649488</v>
      </c>
      <c r="AJ13" s="51">
        <f t="shared" ref="AJ13:AJ45" si="41">AH13-AL13*1.96</f>
        <v>9.0884892668441779</v>
      </c>
      <c r="AK13" s="51">
        <f t="shared" ref="AK13:AK45" si="42">AH13+AL13*1.96</f>
        <v>44.294325026103138</v>
      </c>
      <c r="AL13" s="51">
        <f t="shared" ref="AL13:AL45" si="43">(STDEV(AD$12:AD$1000)/SQRT(AD$8-1))*SQRT(0.7099+0.1165*AI13+0.6687*AI13*AI13)</f>
        <v>8.9810805508313667</v>
      </c>
      <c r="AN13" s="9">
        <f t="shared" si="12"/>
        <v>2</v>
      </c>
      <c r="AO13" s="10">
        <f t="shared" si="13"/>
        <v>7.4999999999999997E-2</v>
      </c>
      <c r="AP13" s="11">
        <f t="shared" ref="AP13:AP76" si="44">-LN(-LN(AO13))</f>
        <v>-0.95176102307336075</v>
      </c>
      <c r="AQ13" s="32">
        <f>'Valeurs Maximales Annuelles'!L8</f>
        <v>35.3426618501544</v>
      </c>
      <c r="AR13" s="12">
        <f t="shared" ref="AR13:AR76" si="45">AQ$5+AP13*AQ$4</f>
        <v>24.346887240081919</v>
      </c>
      <c r="AS13" s="50">
        <f t="shared" ref="AS13:AS32" si="46">1/(1-AT13)</f>
        <v>1.0526315789473684</v>
      </c>
      <c r="AT13" s="51">
        <v>0.05</v>
      </c>
      <c r="AU13" s="51">
        <f t="shared" si="14"/>
        <v>19.411308322717602</v>
      </c>
      <c r="AV13" s="51">
        <f t="shared" si="15"/>
        <v>-1.0971887003649488</v>
      </c>
      <c r="AW13" s="51">
        <f t="shared" ref="AW13:AW45" si="47">AU13-AY13*1.96</f>
        <v>-3.6399354978068175</v>
      </c>
      <c r="AX13" s="51">
        <f t="shared" ref="AX13:AX45" si="48">AU13+AY13*1.96</f>
        <v>42.462552143242021</v>
      </c>
      <c r="AY13" s="51">
        <f t="shared" ref="AY13:AY45" si="49">(STDEV(AQ$12:AQ$1000)/SQRT(AQ$8-1))*SQRT(0.7099+0.1165*AV13+0.6687*AV13*AV13)</f>
        <v>11.76083868394103</v>
      </c>
      <c r="BA13" s="9">
        <f t="shared" si="16"/>
        <v>2</v>
      </c>
      <c r="BB13" s="10">
        <f t="shared" si="17"/>
        <v>7.4999999999999997E-2</v>
      </c>
      <c r="BC13" s="11">
        <f t="shared" ref="BC13:BC76" si="50">-LN(-LN(BB13))</f>
        <v>-0.95176102307336075</v>
      </c>
      <c r="BD13" s="32">
        <f>'Valeurs Maximales Annuelles'!N8</f>
        <v>37.605600189417601</v>
      </c>
      <c r="BE13" s="12">
        <f t="shared" si="18"/>
        <v>28.342438433627251</v>
      </c>
      <c r="BF13" s="50">
        <f t="shared" ref="BF13:BF32" si="51">1/(1-BG13)</f>
        <v>1.0526315789473684</v>
      </c>
      <c r="BG13" s="51">
        <v>0.05</v>
      </c>
      <c r="BH13" s="51">
        <f t="shared" si="19"/>
        <v>23.685047484968173</v>
      </c>
      <c r="BI13" s="51">
        <f t="shared" si="20"/>
        <v>-1.0971887003649488</v>
      </c>
      <c r="BJ13" s="51">
        <f t="shared" ref="BJ13:BJ45" si="52">BH13-BL13*1.96</f>
        <v>1.9330592942139972</v>
      </c>
      <c r="BK13" s="51">
        <f t="shared" ref="BK13:BK45" si="53">BH13+BL13*1.96</f>
        <v>45.437035675722349</v>
      </c>
      <c r="BL13" s="51">
        <f t="shared" ref="BL13:BL45" si="54">(STDEV(BD$12:BD$1000)/SQRT(BD$8-1))*SQRT(0.7099+0.1165*BI13+0.6687*BI13*BI13)</f>
        <v>11.09795315854805</v>
      </c>
      <c r="BN13" s="9">
        <f t="shared" si="21"/>
        <v>2</v>
      </c>
      <c r="BO13" s="10">
        <f t="shared" si="22"/>
        <v>7.4999999999999997E-2</v>
      </c>
      <c r="BP13" s="11">
        <f t="shared" ref="BP13:BP76" si="55">-LN(-LN(BO13))</f>
        <v>-0.95176102307336075</v>
      </c>
      <c r="BQ13" s="32">
        <f>'Valeurs Maximales Annuelles'!P8</f>
        <v>31.834220811724698</v>
      </c>
      <c r="BR13" s="12">
        <f t="shared" si="23"/>
        <v>24.80419504627708</v>
      </c>
      <c r="BS13" s="50">
        <f t="shared" ref="BS13:BS32" si="56">1/(1-BT13)</f>
        <v>1.0526315789473684</v>
      </c>
      <c r="BT13" s="51">
        <v>0.05</v>
      </c>
      <c r="BU13" s="51">
        <f t="shared" si="24"/>
        <v>19.915807636280206</v>
      </c>
      <c r="BV13" s="51">
        <f t="shared" si="25"/>
        <v>-1.0971887003649488</v>
      </c>
      <c r="BW13" s="51">
        <f t="shared" ref="BW13:BW45" si="57">BU13-BY13*1.96</f>
        <v>-2.9150318586730215</v>
      </c>
      <c r="BX13" s="51">
        <f t="shared" ref="BX13:BX45" si="58">BU13+BY13*1.96</f>
        <v>42.746647131233431</v>
      </c>
      <c r="BY13" s="51">
        <f t="shared" ref="BY13:BY45" si="59">(STDEV(BQ$12:BQ$1000)/SQRT(BQ$8-1))*SQRT(0.7099+0.1165*BV13+0.6687*BV13*BV13)</f>
        <v>11.648387497425116</v>
      </c>
    </row>
    <row r="14" spans="1:77" x14ac:dyDescent="0.3">
      <c r="A14" s="9">
        <f t="shared" si="0"/>
        <v>3</v>
      </c>
      <c r="B14" s="10">
        <f t="shared" si="1"/>
        <v>0.125</v>
      </c>
      <c r="C14" s="11">
        <f t="shared" si="26"/>
        <v>-0.73209936808644527</v>
      </c>
      <c r="D14">
        <f>'Valeurs Maximales Annuelles'!F9</f>
        <v>42.927400432527101</v>
      </c>
      <c r="E14" s="12">
        <f t="shared" si="27"/>
        <v>35.467522407466703</v>
      </c>
      <c r="F14" s="50">
        <f t="shared" si="28"/>
        <v>1.099999890000011</v>
      </c>
      <c r="G14" s="51">
        <v>9.0909000000000004E-2</v>
      </c>
      <c r="H14" s="51">
        <f t="shared" si="2"/>
        <v>31.990210082185353</v>
      </c>
      <c r="I14" s="51">
        <f t="shared" si="3"/>
        <v>-0.87459179995620184</v>
      </c>
      <c r="J14" s="51">
        <f t="shared" si="29"/>
        <v>17.099389986085285</v>
      </c>
      <c r="K14" s="51">
        <f t="shared" si="30"/>
        <v>46.881030178285421</v>
      </c>
      <c r="L14" s="51">
        <f t="shared" si="31"/>
        <v>7.5973571918877907</v>
      </c>
      <c r="N14" s="9">
        <f t="shared" si="4"/>
        <v>3</v>
      </c>
      <c r="O14" s="10">
        <f t="shared" si="5"/>
        <v>0.125</v>
      </c>
      <c r="P14" s="11">
        <f t="shared" si="32"/>
        <v>-0.73209936808644527</v>
      </c>
      <c r="Q14" s="32">
        <f>'Valeurs Maximales Annuelles'!H9</f>
        <v>44.5421834662557</v>
      </c>
      <c r="R14" s="12">
        <f t="shared" si="33"/>
        <v>31.551908296830479</v>
      </c>
      <c r="S14" s="50">
        <f t="shared" si="34"/>
        <v>1.099999890000011</v>
      </c>
      <c r="T14" s="51">
        <v>9.0909000000000004E-2</v>
      </c>
      <c r="U14" s="51">
        <f t="shared" si="6"/>
        <v>26.902131089062934</v>
      </c>
      <c r="V14" s="51">
        <f t="shared" si="7"/>
        <v>-0.87459179995620184</v>
      </c>
      <c r="W14" s="51">
        <f t="shared" si="35"/>
        <v>6.9904897376606705</v>
      </c>
      <c r="X14" s="51">
        <f t="shared" si="36"/>
        <v>46.8137724404652</v>
      </c>
      <c r="Y14" s="51">
        <f t="shared" si="37"/>
        <v>10.15900068949095</v>
      </c>
      <c r="AA14" s="9">
        <f t="shared" si="8"/>
        <v>3</v>
      </c>
      <c r="AB14" s="10">
        <f t="shared" si="9"/>
        <v>0.125</v>
      </c>
      <c r="AC14" s="11">
        <f t="shared" si="38"/>
        <v>-0.73209936808644527</v>
      </c>
      <c r="AD14">
        <f>'Valeurs Maximales Annuelles'!J9</f>
        <v>42.932034786790602</v>
      </c>
      <c r="AE14" s="12">
        <f t="shared" si="39"/>
        <v>36.153353347822502</v>
      </c>
      <c r="AF14" s="50">
        <f t="shared" si="40"/>
        <v>1.099999890000011</v>
      </c>
      <c r="AG14" s="51">
        <v>9.0909000000000004E-2</v>
      </c>
      <c r="AH14" s="51">
        <f t="shared" si="10"/>
        <v>32.460405881960909</v>
      </c>
      <c r="AI14" s="51">
        <f t="shared" si="11"/>
        <v>-0.87459179995620184</v>
      </c>
      <c r="AJ14" s="51">
        <f t="shared" si="41"/>
        <v>16.646176041664845</v>
      </c>
      <c r="AK14" s="51">
        <f t="shared" si="42"/>
        <v>48.274635722256974</v>
      </c>
      <c r="AL14" s="51">
        <f t="shared" si="43"/>
        <v>8.0684846123959524</v>
      </c>
      <c r="AN14" s="9">
        <f t="shared" si="12"/>
        <v>3</v>
      </c>
      <c r="AO14" s="10">
        <f t="shared" si="13"/>
        <v>0.125</v>
      </c>
      <c r="AP14" s="11">
        <f t="shared" si="44"/>
        <v>-0.73209936808644527</v>
      </c>
      <c r="AQ14">
        <f>'Valeurs Maximales Annuelles'!L9</f>
        <v>39.488640166819103</v>
      </c>
      <c r="AR14" s="12">
        <f t="shared" si="45"/>
        <v>31.801846663885392</v>
      </c>
      <c r="AS14" s="50">
        <f t="shared" si="46"/>
        <v>1.099999890000011</v>
      </c>
      <c r="AT14" s="51">
        <v>9.0909000000000004E-2</v>
      </c>
      <c r="AU14" s="51">
        <f t="shared" si="14"/>
        <v>26.965885203741642</v>
      </c>
      <c r="AV14" s="51">
        <f t="shared" si="15"/>
        <v>-0.87459179995620184</v>
      </c>
      <c r="AW14" s="51">
        <f t="shared" si="47"/>
        <v>6.2569510159426187</v>
      </c>
      <c r="AX14" s="51">
        <f t="shared" si="48"/>
        <v>47.674819391540666</v>
      </c>
      <c r="AY14" s="51">
        <f t="shared" si="49"/>
        <v>10.565782748877053</v>
      </c>
      <c r="BA14" s="9">
        <f t="shared" si="16"/>
        <v>3</v>
      </c>
      <c r="BB14" s="10">
        <f t="shared" si="17"/>
        <v>0.125</v>
      </c>
      <c r="BC14" s="11">
        <f t="shared" si="50"/>
        <v>-0.73209936808644527</v>
      </c>
      <c r="BD14" s="32">
        <f>'Valeurs Maximales Annuelles'!N9</f>
        <v>42.456313669681499</v>
      </c>
      <c r="BE14" s="12">
        <f t="shared" si="18"/>
        <v>35.377208037024545</v>
      </c>
      <c r="BF14" s="50">
        <f t="shared" si="51"/>
        <v>1.099999890000011</v>
      </c>
      <c r="BG14" s="51">
        <v>9.0909000000000004E-2</v>
      </c>
      <c r="BH14" s="51">
        <f t="shared" si="19"/>
        <v>30.813819727438908</v>
      </c>
      <c r="BI14" s="51">
        <f t="shared" si="20"/>
        <v>-0.87459179995620184</v>
      </c>
      <c r="BJ14" s="51">
        <f t="shared" si="52"/>
        <v>11.272119704508789</v>
      </c>
      <c r="BK14" s="51">
        <f t="shared" si="53"/>
        <v>50.355519750369027</v>
      </c>
      <c r="BL14" s="51">
        <f t="shared" si="54"/>
        <v>9.9702551137398565</v>
      </c>
      <c r="BN14" s="9">
        <f t="shared" si="21"/>
        <v>3</v>
      </c>
      <c r="BO14" s="10">
        <f t="shared" si="22"/>
        <v>0.125</v>
      </c>
      <c r="BP14" s="11">
        <f t="shared" si="55"/>
        <v>-0.73209936808644527</v>
      </c>
      <c r="BQ14" s="32">
        <f>'Valeurs Maximales Annuelles'!P9</f>
        <v>42.103695888072302</v>
      </c>
      <c r="BR14" s="12">
        <f t="shared" si="23"/>
        <v>32.187873921544558</v>
      </c>
      <c r="BS14" s="50">
        <f t="shared" si="56"/>
        <v>1.099999890000011</v>
      </c>
      <c r="BT14" s="51">
        <v>9.0909000000000004E-2</v>
      </c>
      <c r="BU14" s="51">
        <f t="shared" si="24"/>
        <v>27.398151477065646</v>
      </c>
      <c r="BV14" s="51">
        <f t="shared" si="25"/>
        <v>-0.87459179995620184</v>
      </c>
      <c r="BW14" s="51">
        <f t="shared" si="57"/>
        <v>6.8872256357358062</v>
      </c>
      <c r="BX14" s="51">
        <f t="shared" si="58"/>
        <v>47.909077318395489</v>
      </c>
      <c r="BY14" s="51">
        <f t="shared" si="59"/>
        <v>10.464758082311143</v>
      </c>
    </row>
    <row r="15" spans="1:77" x14ac:dyDescent="0.3">
      <c r="A15" s="9">
        <f t="shared" si="0"/>
        <v>4</v>
      </c>
      <c r="B15" s="10">
        <f t="shared" si="1"/>
        <v>0.17499999999999999</v>
      </c>
      <c r="C15" s="11">
        <f t="shared" si="26"/>
        <v>-0.5555901559746852</v>
      </c>
      <c r="D15">
        <f>'Valeurs Maximales Annuelles'!F10</f>
        <v>47.048988416790998</v>
      </c>
      <c r="E15" s="12">
        <f t="shared" si="27"/>
        <v>39.774962814989124</v>
      </c>
      <c r="F15" s="50">
        <f t="shared" si="28"/>
        <v>1.1764705882352942</v>
      </c>
      <c r="G15" s="51">
        <v>0.15</v>
      </c>
      <c r="H15" s="51">
        <f t="shared" si="2"/>
        <v>37.706845733660366</v>
      </c>
      <c r="I15" s="51">
        <f t="shared" si="3"/>
        <v>-0.64033693876074793</v>
      </c>
      <c r="J15" s="51">
        <f t="shared" si="29"/>
        <v>24.285252170545846</v>
      </c>
      <c r="K15" s="51">
        <f t="shared" si="30"/>
        <v>51.128439296774886</v>
      </c>
      <c r="L15" s="51">
        <f t="shared" si="31"/>
        <v>6.8477518179155705</v>
      </c>
      <c r="N15" s="9">
        <f t="shared" si="4"/>
        <v>4</v>
      </c>
      <c r="O15" s="10">
        <f t="shared" si="5"/>
        <v>0.17499999999999999</v>
      </c>
      <c r="P15" s="11">
        <f t="shared" si="32"/>
        <v>-0.5555901559746852</v>
      </c>
      <c r="Q15" s="32">
        <f>'Valeurs Maximales Annuelles'!H10</f>
        <v>45.203562900423996</v>
      </c>
      <c r="R15" s="12">
        <f t="shared" si="33"/>
        <v>37.311712524106525</v>
      </c>
      <c r="S15" s="50">
        <f t="shared" si="34"/>
        <v>1.1764705882352942</v>
      </c>
      <c r="T15" s="51">
        <v>0.15</v>
      </c>
      <c r="U15" s="51">
        <f t="shared" si="6"/>
        <v>34.546276817384637</v>
      </c>
      <c r="V15" s="51">
        <f t="shared" si="7"/>
        <v>-0.64033693876074793</v>
      </c>
      <c r="W15" s="51">
        <f t="shared" si="35"/>
        <v>16.599249342180791</v>
      </c>
      <c r="X15" s="51">
        <f t="shared" si="36"/>
        <v>52.493304292588483</v>
      </c>
      <c r="Y15" s="51">
        <f t="shared" si="37"/>
        <v>9.1566466710223704</v>
      </c>
      <c r="AA15" s="9">
        <f t="shared" si="8"/>
        <v>4</v>
      </c>
      <c r="AB15" s="10">
        <f t="shared" si="9"/>
        <v>0.17499999999999999</v>
      </c>
      <c r="AC15" s="11">
        <f t="shared" si="38"/>
        <v>-0.5555901559746852</v>
      </c>
      <c r="AD15">
        <f>'Valeurs Maximales Annuelles'!J10</f>
        <v>46.322729028761401</v>
      </c>
      <c r="AE15" s="12">
        <f t="shared" si="39"/>
        <v>40.727906810178723</v>
      </c>
      <c r="AF15" s="50">
        <f t="shared" si="40"/>
        <v>1.1764705882352942</v>
      </c>
      <c r="AG15" s="51">
        <v>0.15</v>
      </c>
      <c r="AH15" s="51">
        <f t="shared" si="10"/>
        <v>38.531541623459361</v>
      </c>
      <c r="AI15" s="51">
        <f t="shared" si="11"/>
        <v>-0.64033693876074793</v>
      </c>
      <c r="AJ15" s="51">
        <f t="shared" si="41"/>
        <v>24.277648012474131</v>
      </c>
      <c r="AK15" s="51">
        <f t="shared" si="42"/>
        <v>52.785435234444591</v>
      </c>
      <c r="AL15" s="51">
        <f t="shared" si="43"/>
        <v>7.2723946994822608</v>
      </c>
      <c r="AN15" s="9">
        <f t="shared" si="12"/>
        <v>4</v>
      </c>
      <c r="AO15" s="10">
        <f t="shared" si="13"/>
        <v>0.17499999999999999</v>
      </c>
      <c r="AP15" s="11">
        <f t="shared" si="44"/>
        <v>-0.5555901559746852</v>
      </c>
      <c r="AQ15">
        <f>'Valeurs Maximales Annuelles'!L10</f>
        <v>46.103955321013899</v>
      </c>
      <c r="AR15" s="12">
        <f t="shared" si="45"/>
        <v>37.792282337781572</v>
      </c>
      <c r="AS15" s="50">
        <f t="shared" si="46"/>
        <v>1.1764705882352942</v>
      </c>
      <c r="AT15" s="51">
        <v>0.15</v>
      </c>
      <c r="AU15" s="51">
        <f t="shared" si="14"/>
        <v>34.916114319264096</v>
      </c>
      <c r="AV15" s="51">
        <f t="shared" si="15"/>
        <v>-0.64033693876074793</v>
      </c>
      <c r="AW15" s="51">
        <f t="shared" si="47"/>
        <v>16.250460177977388</v>
      </c>
      <c r="AX15" s="51">
        <f t="shared" si="48"/>
        <v>53.581768460550805</v>
      </c>
      <c r="AY15" s="51">
        <f t="shared" si="49"/>
        <v>9.523292929227912</v>
      </c>
      <c r="BA15" s="9">
        <f t="shared" si="16"/>
        <v>4</v>
      </c>
      <c r="BB15" s="10">
        <f t="shared" si="17"/>
        <v>0.17499999999999999</v>
      </c>
      <c r="BC15" s="11">
        <f t="shared" si="50"/>
        <v>-0.5555901559746852</v>
      </c>
      <c r="BD15" s="32">
        <f>'Valeurs Maximales Annuelles'!N10</f>
        <v>44.353999011218498</v>
      </c>
      <c r="BE15" s="12">
        <f t="shared" si="18"/>
        <v>41.030000010013083</v>
      </c>
      <c r="BF15" s="50">
        <f t="shared" si="51"/>
        <v>1.1764705882352942</v>
      </c>
      <c r="BG15" s="51">
        <v>0.15</v>
      </c>
      <c r="BH15" s="51">
        <f t="shared" si="19"/>
        <v>38.315943742137748</v>
      </c>
      <c r="BI15" s="51">
        <f t="shared" si="20"/>
        <v>-0.64033693876074793</v>
      </c>
      <c r="BJ15" s="51">
        <f t="shared" si="52"/>
        <v>20.702356743744993</v>
      </c>
      <c r="BK15" s="51">
        <f t="shared" si="53"/>
        <v>55.929530740530502</v>
      </c>
      <c r="BL15" s="51">
        <f t="shared" si="54"/>
        <v>8.9865239787718139</v>
      </c>
      <c r="BN15" s="9">
        <f t="shared" si="21"/>
        <v>4</v>
      </c>
      <c r="BO15" s="10">
        <f t="shared" si="22"/>
        <v>0.17499999999999999</v>
      </c>
      <c r="BP15" s="11">
        <f t="shared" si="55"/>
        <v>-0.5555901559746852</v>
      </c>
      <c r="BQ15" s="32">
        <f>'Valeurs Maximales Annuelles'!P10</f>
        <v>46.860200464725501</v>
      </c>
      <c r="BR15" s="12">
        <f t="shared" si="23"/>
        <v>38.121032081703831</v>
      </c>
      <c r="BS15" s="50">
        <f t="shared" si="56"/>
        <v>1.1764705882352942</v>
      </c>
      <c r="BT15" s="51">
        <v>0.15</v>
      </c>
      <c r="BU15" s="51">
        <f t="shared" si="24"/>
        <v>35.272364525950394</v>
      </c>
      <c r="BV15" s="51">
        <f t="shared" si="25"/>
        <v>-0.64033693876074793</v>
      </c>
      <c r="BW15" s="51">
        <f t="shared" si="57"/>
        <v>16.785181921574523</v>
      </c>
      <c r="BX15" s="51">
        <f t="shared" si="58"/>
        <v>53.759547130326268</v>
      </c>
      <c r="BY15" s="51">
        <f t="shared" si="59"/>
        <v>9.4322360226407511</v>
      </c>
    </row>
    <row r="16" spans="1:77" x14ac:dyDescent="0.3">
      <c r="A16" s="9">
        <f t="shared" si="0"/>
        <v>5</v>
      </c>
      <c r="B16" s="10">
        <f t="shared" si="1"/>
        <v>0.22500000000000001</v>
      </c>
      <c r="C16" s="11">
        <f t="shared" si="26"/>
        <v>-0.3998861591913061</v>
      </c>
      <c r="D16">
        <f>'Valeurs Maximales Annuelles'!F11</f>
        <v>48.113587349653201</v>
      </c>
      <c r="E16" s="12">
        <f t="shared" si="27"/>
        <v>43.574683403695907</v>
      </c>
      <c r="F16" s="50">
        <f t="shared" si="28"/>
        <v>1.25</v>
      </c>
      <c r="G16" s="51">
        <v>0.2</v>
      </c>
      <c r="H16" s="51">
        <f t="shared" si="2"/>
        <v>41.720046731878661</v>
      </c>
      <c r="I16" s="51">
        <f t="shared" si="3"/>
        <v>-0.47588499532711054</v>
      </c>
      <c r="J16" s="51">
        <f t="shared" si="29"/>
        <v>29.085916717013436</v>
      </c>
      <c r="K16" s="51">
        <f t="shared" si="30"/>
        <v>54.354176746743889</v>
      </c>
      <c r="L16" s="51">
        <f t="shared" si="31"/>
        <v>6.4459847014618497</v>
      </c>
      <c r="N16" s="9">
        <f t="shared" si="4"/>
        <v>5</v>
      </c>
      <c r="O16" s="10">
        <f t="shared" si="5"/>
        <v>0.22500000000000001</v>
      </c>
      <c r="P16" s="11">
        <f t="shared" si="32"/>
        <v>-0.3998861591913061</v>
      </c>
      <c r="Q16" s="32">
        <f>'Valeurs Maximales Annuelles'!H11</f>
        <v>45.677841156721101</v>
      </c>
      <c r="R16" s="12">
        <f t="shared" si="33"/>
        <v>42.392606196153757</v>
      </c>
      <c r="S16" s="50">
        <f t="shared" si="34"/>
        <v>1.25</v>
      </c>
      <c r="T16" s="51">
        <v>0.2</v>
      </c>
      <c r="U16" s="51">
        <f t="shared" si="6"/>
        <v>39.912631284895845</v>
      </c>
      <c r="V16" s="51">
        <f t="shared" si="7"/>
        <v>-0.47588499532711054</v>
      </c>
      <c r="W16" s="51">
        <f t="shared" si="35"/>
        <v>23.018580855204029</v>
      </c>
      <c r="X16" s="51">
        <f t="shared" si="36"/>
        <v>56.806681714587661</v>
      </c>
      <c r="Y16" s="51">
        <f t="shared" si="37"/>
        <v>8.6194134845366417</v>
      </c>
      <c r="AA16" s="9">
        <f t="shared" si="8"/>
        <v>5</v>
      </c>
      <c r="AB16" s="10">
        <f t="shared" si="9"/>
        <v>0.22500000000000001</v>
      </c>
      <c r="AC16" s="11">
        <f t="shared" si="38"/>
        <v>-0.3998861591913061</v>
      </c>
      <c r="AD16">
        <f>'Valeurs Maximales Annuelles'!J11</f>
        <v>46.428177561610902</v>
      </c>
      <c r="AE16" s="12">
        <f t="shared" si="39"/>
        <v>44.763255725209383</v>
      </c>
      <c r="AF16" s="50">
        <f t="shared" si="40"/>
        <v>1.25</v>
      </c>
      <c r="AG16" s="51">
        <v>0.2</v>
      </c>
      <c r="AH16" s="51">
        <f t="shared" si="10"/>
        <v>42.793609298143814</v>
      </c>
      <c r="AI16" s="51">
        <f t="shared" si="11"/>
        <v>-0.47588499532711054</v>
      </c>
      <c r="AJ16" s="51">
        <f t="shared" si="41"/>
        <v>29.376011435982445</v>
      </c>
      <c r="AK16" s="51">
        <f t="shared" si="42"/>
        <v>56.211207160305179</v>
      </c>
      <c r="AL16" s="51">
        <f t="shared" si="43"/>
        <v>6.8457131949802905</v>
      </c>
      <c r="AN16" s="9">
        <f t="shared" si="12"/>
        <v>5</v>
      </c>
      <c r="AO16" s="10">
        <f t="shared" si="13"/>
        <v>0.22500000000000001</v>
      </c>
      <c r="AP16" s="11">
        <f t="shared" si="44"/>
        <v>-0.3998861591913061</v>
      </c>
      <c r="AQ16" s="32">
        <f>'Valeurs Maximales Annuelles'!L11</f>
        <v>47.186495214700699</v>
      </c>
      <c r="AR16" s="12">
        <f t="shared" si="45"/>
        <v>43.076622830496426</v>
      </c>
      <c r="AS16" s="50">
        <f t="shared" si="46"/>
        <v>1.25</v>
      </c>
      <c r="AT16" s="51">
        <v>0.2</v>
      </c>
      <c r="AU16" s="51">
        <f t="shared" si="14"/>
        <v>40.497345898059308</v>
      </c>
      <c r="AV16" s="51">
        <f t="shared" si="15"/>
        <v>-0.47588499532711054</v>
      </c>
      <c r="AW16" s="51">
        <f t="shared" si="47"/>
        <v>22.926831627561604</v>
      </c>
      <c r="AX16" s="51">
        <f t="shared" si="48"/>
        <v>58.067860168557011</v>
      </c>
      <c r="AY16" s="51">
        <f t="shared" si="49"/>
        <v>8.9645480971927061</v>
      </c>
      <c r="BA16" s="9">
        <f t="shared" si="16"/>
        <v>5</v>
      </c>
      <c r="BB16" s="10">
        <f t="shared" si="17"/>
        <v>0.22500000000000001</v>
      </c>
      <c r="BC16" s="11">
        <f t="shared" si="50"/>
        <v>-0.3998861591913061</v>
      </c>
      <c r="BD16" s="32">
        <f>'Valeurs Maximales Annuelles'!N11</f>
        <v>46.757558695972001</v>
      </c>
      <c r="BE16" s="12">
        <f t="shared" si="18"/>
        <v>46.016495007350827</v>
      </c>
      <c r="BF16" s="50">
        <f t="shared" si="51"/>
        <v>1.25</v>
      </c>
      <c r="BG16" s="51">
        <v>0.2</v>
      </c>
      <c r="BH16" s="51">
        <f t="shared" si="19"/>
        <v>43.582595916617059</v>
      </c>
      <c r="BI16" s="51">
        <f t="shared" si="20"/>
        <v>-0.47588499532711054</v>
      </c>
      <c r="BJ16" s="51">
        <f t="shared" si="52"/>
        <v>27.002422547532074</v>
      </c>
      <c r="BK16" s="51">
        <f t="shared" si="53"/>
        <v>60.162769285702041</v>
      </c>
      <c r="BL16" s="51">
        <f t="shared" si="54"/>
        <v>8.4592721270841764</v>
      </c>
      <c r="BN16" s="9">
        <f t="shared" si="21"/>
        <v>5</v>
      </c>
      <c r="BO16" s="10">
        <f t="shared" si="22"/>
        <v>0.22500000000000001</v>
      </c>
      <c r="BP16" s="11">
        <f t="shared" si="55"/>
        <v>-0.3998861591913061</v>
      </c>
      <c r="BQ16" s="32">
        <f>'Valeurs Maximales Annuelles'!P11</f>
        <v>47.693769671022899</v>
      </c>
      <c r="BR16" s="12">
        <f t="shared" si="23"/>
        <v>43.354846385400279</v>
      </c>
      <c r="BS16" s="50">
        <f t="shared" si="56"/>
        <v>1.25</v>
      </c>
      <c r="BT16" s="51">
        <v>0.2</v>
      </c>
      <c r="BU16" s="51">
        <f t="shared" si="24"/>
        <v>40.800231193439352</v>
      </c>
      <c r="BV16" s="51">
        <f t="shared" si="25"/>
        <v>-0.47588499532711054</v>
      </c>
      <c r="BW16" s="51">
        <f t="shared" si="57"/>
        <v>23.397717286734594</v>
      </c>
      <c r="BX16" s="51">
        <f t="shared" si="58"/>
        <v>58.202745100144114</v>
      </c>
      <c r="BY16" s="51">
        <f t="shared" si="59"/>
        <v>8.878833625869774</v>
      </c>
    </row>
    <row r="17" spans="1:77" x14ac:dyDescent="0.3">
      <c r="A17" s="9">
        <f t="shared" si="0"/>
        <v>6</v>
      </c>
      <c r="B17" s="10">
        <f t="shared" si="1"/>
        <v>0.27500000000000002</v>
      </c>
      <c r="C17" s="11">
        <f t="shared" si="26"/>
        <v>-0.25540485874184954</v>
      </c>
      <c r="D17">
        <f>'Valeurs Maximales Annuelles'!F12</f>
        <v>48.386913165450103</v>
      </c>
      <c r="E17" s="12">
        <f t="shared" si="27"/>
        <v>47.100531059133445</v>
      </c>
      <c r="F17" s="50">
        <f t="shared" si="28"/>
        <v>1.3333333333333333</v>
      </c>
      <c r="G17" s="51">
        <v>0.25</v>
      </c>
      <c r="H17" s="51">
        <f t="shared" si="2"/>
        <v>45.362285233781478</v>
      </c>
      <c r="I17" s="51">
        <f t="shared" si="3"/>
        <v>-0.32663425997828094</v>
      </c>
      <c r="J17" s="51">
        <f t="shared" si="29"/>
        <v>33.229638716895913</v>
      </c>
      <c r="K17" s="51">
        <f t="shared" si="30"/>
        <v>57.494931750667043</v>
      </c>
      <c r="L17" s="51">
        <f t="shared" si="31"/>
        <v>6.1901257739212054</v>
      </c>
      <c r="N17" s="9">
        <f t="shared" si="4"/>
        <v>6</v>
      </c>
      <c r="O17" s="10">
        <f t="shared" si="5"/>
        <v>0.27500000000000002</v>
      </c>
      <c r="P17" s="11">
        <f t="shared" si="32"/>
        <v>-0.25540485874184954</v>
      </c>
      <c r="Q17" s="32">
        <f>'Valeurs Maximales Annuelles'!H12</f>
        <v>47.693769671022899</v>
      </c>
      <c r="R17" s="12">
        <f t="shared" si="33"/>
        <v>47.107283663323059</v>
      </c>
      <c r="S17" s="50">
        <f t="shared" si="34"/>
        <v>1.3333333333333333</v>
      </c>
      <c r="T17" s="51">
        <v>0.25</v>
      </c>
      <c r="U17" s="51">
        <f t="shared" si="6"/>
        <v>44.782943752451033</v>
      </c>
      <c r="V17" s="51">
        <f t="shared" si="7"/>
        <v>-0.32663425997828094</v>
      </c>
      <c r="W17" s="51">
        <f t="shared" si="35"/>
        <v>28.559464821909415</v>
      </c>
      <c r="X17" s="51">
        <f t="shared" si="36"/>
        <v>61.00642268299265</v>
      </c>
      <c r="Y17" s="51">
        <f t="shared" si="37"/>
        <v>8.277285168643683</v>
      </c>
      <c r="AA17" s="9">
        <f t="shared" si="8"/>
        <v>6</v>
      </c>
      <c r="AB17" s="10">
        <f t="shared" si="9"/>
        <v>0.27500000000000002</v>
      </c>
      <c r="AC17" s="11">
        <f t="shared" si="38"/>
        <v>-0.25540485874184954</v>
      </c>
      <c r="AD17" s="32">
        <f>'Valeurs Maximales Annuelles'!J12</f>
        <v>46.904319617897301</v>
      </c>
      <c r="AE17" s="12">
        <f t="shared" si="39"/>
        <v>48.507748294800052</v>
      </c>
      <c r="AF17" s="50">
        <f t="shared" si="40"/>
        <v>1.3333333333333333</v>
      </c>
      <c r="AG17" s="51">
        <v>0.25</v>
      </c>
      <c r="AH17" s="51">
        <f t="shared" si="10"/>
        <v>46.661710344999655</v>
      </c>
      <c r="AI17" s="51">
        <f t="shared" si="11"/>
        <v>-0.32663425997828094</v>
      </c>
      <c r="AJ17" s="51">
        <f t="shared" si="41"/>
        <v>33.77669398251291</v>
      </c>
      <c r="AK17" s="51">
        <f t="shared" si="42"/>
        <v>59.5467267074864</v>
      </c>
      <c r="AL17" s="51">
        <f t="shared" si="43"/>
        <v>6.5739879400442573</v>
      </c>
      <c r="AN17" s="9">
        <f t="shared" si="12"/>
        <v>6</v>
      </c>
      <c r="AO17" s="10">
        <f t="shared" si="13"/>
        <v>0.27500000000000002</v>
      </c>
      <c r="AP17" s="11">
        <f t="shared" si="44"/>
        <v>-0.25540485874184954</v>
      </c>
      <c r="AQ17">
        <f>'Valeurs Maximales Annuelles'!L12</f>
        <v>48.560494501143701</v>
      </c>
      <c r="AR17" s="12">
        <f t="shared" si="45"/>
        <v>47.980083256546735</v>
      </c>
      <c r="AS17" s="50">
        <f t="shared" si="46"/>
        <v>1.3333333333333333</v>
      </c>
      <c r="AT17" s="51">
        <v>0.25</v>
      </c>
      <c r="AU17" s="51">
        <f t="shared" si="14"/>
        <v>45.562673190001242</v>
      </c>
      <c r="AV17" s="51">
        <f t="shared" si="15"/>
        <v>-0.32663425997828094</v>
      </c>
      <c r="AW17" s="51">
        <f t="shared" si="47"/>
        <v>28.689581135936599</v>
      </c>
      <c r="AX17" s="51">
        <f t="shared" si="48"/>
        <v>62.435765244065884</v>
      </c>
      <c r="AY17" s="51">
        <f t="shared" si="49"/>
        <v>8.6087204357472675</v>
      </c>
      <c r="BA17" s="9">
        <f t="shared" si="16"/>
        <v>6</v>
      </c>
      <c r="BB17" s="10">
        <f t="shared" si="17"/>
        <v>0.27500000000000002</v>
      </c>
      <c r="BC17" s="11">
        <f t="shared" si="50"/>
        <v>-0.25540485874184954</v>
      </c>
      <c r="BD17" s="32">
        <f>'Valeurs Maximales Annuelles'!N12</f>
        <v>49.904619175940802</v>
      </c>
      <c r="BE17" s="12">
        <f t="shared" si="18"/>
        <v>50.643577784823719</v>
      </c>
      <c r="BF17" s="50">
        <f t="shared" si="51"/>
        <v>1.3333333333333333</v>
      </c>
      <c r="BG17" s="51">
        <v>0.25</v>
      </c>
      <c r="BH17" s="51">
        <f t="shared" si="19"/>
        <v>48.362422128794066</v>
      </c>
      <c r="BI17" s="51">
        <f t="shared" si="20"/>
        <v>-0.32663425997828094</v>
      </c>
      <c r="BJ17" s="51">
        <f t="shared" si="52"/>
        <v>32.440361611837005</v>
      </c>
      <c r="BK17" s="51">
        <f t="shared" si="53"/>
        <v>64.284482645751126</v>
      </c>
      <c r="BL17" s="51">
        <f t="shared" si="54"/>
        <v>8.123500263753602</v>
      </c>
      <c r="BN17" s="9">
        <f t="shared" si="21"/>
        <v>6</v>
      </c>
      <c r="BO17" s="10">
        <f t="shared" si="22"/>
        <v>0.27500000000000002</v>
      </c>
      <c r="BP17" s="11">
        <f t="shared" si="55"/>
        <v>-0.25540485874184954</v>
      </c>
      <c r="BQ17" s="32">
        <f>'Valeurs Maximales Annuelles'!P12</f>
        <v>48.779421094805002</v>
      </c>
      <c r="BR17" s="12">
        <f t="shared" si="23"/>
        <v>48.211422404839688</v>
      </c>
      <c r="BS17" s="50">
        <f t="shared" si="56"/>
        <v>1.3333333333333333</v>
      </c>
      <c r="BT17" s="51">
        <v>0.25</v>
      </c>
      <c r="BU17" s="51">
        <f t="shared" si="24"/>
        <v>45.817126389730824</v>
      </c>
      <c r="BV17" s="51">
        <f t="shared" si="25"/>
        <v>-0.32663425997828094</v>
      </c>
      <c r="BW17" s="51">
        <f t="shared" si="57"/>
        <v>29.105366301239574</v>
      </c>
      <c r="BX17" s="51">
        <f t="shared" si="58"/>
        <v>62.528886478222077</v>
      </c>
      <c r="BY17" s="51">
        <f t="shared" si="59"/>
        <v>8.526408208413903</v>
      </c>
    </row>
    <row r="18" spans="1:77" x14ac:dyDescent="0.3">
      <c r="A18" s="9">
        <f t="shared" si="0"/>
        <v>7</v>
      </c>
      <c r="B18" s="10">
        <f t="shared" si="1"/>
        <v>0.32500000000000001</v>
      </c>
      <c r="C18" s="11">
        <f t="shared" si="26"/>
        <v>-0.11683155794713029</v>
      </c>
      <c r="D18">
        <f>'Valeurs Maximales Annuelles'!F13</f>
        <v>50.666394867003</v>
      </c>
      <c r="E18" s="12">
        <f t="shared" si="27"/>
        <v>50.482202916968241</v>
      </c>
      <c r="F18" s="50">
        <f t="shared" si="28"/>
        <v>1.4285714285714286</v>
      </c>
      <c r="G18" s="51">
        <v>0.3</v>
      </c>
      <c r="H18" s="51">
        <f t="shared" si="2"/>
        <v>48.803360069500989</v>
      </c>
      <c r="I18" s="51">
        <f t="shared" si="3"/>
        <v>-0.18562675886236574</v>
      </c>
      <c r="J18" s="51">
        <f t="shared" si="29"/>
        <v>36.933742365458926</v>
      </c>
      <c r="K18" s="51">
        <f t="shared" si="30"/>
        <v>60.672977773543053</v>
      </c>
      <c r="L18" s="51">
        <f t="shared" si="31"/>
        <v>6.05592740002146</v>
      </c>
      <c r="N18" s="9">
        <f t="shared" si="4"/>
        <v>7</v>
      </c>
      <c r="O18" s="10">
        <f t="shared" si="5"/>
        <v>0.32500000000000001</v>
      </c>
      <c r="P18" s="11">
        <f t="shared" si="32"/>
        <v>-0.11683155794713029</v>
      </c>
      <c r="Q18" s="32">
        <f>'Valeurs Maximales Annuelles'!H13</f>
        <v>50.334665626287503</v>
      </c>
      <c r="R18" s="12">
        <f t="shared" si="33"/>
        <v>51.629172771295806</v>
      </c>
      <c r="S18" s="50">
        <f t="shared" si="34"/>
        <v>1.4285714285714286</v>
      </c>
      <c r="T18" s="51">
        <v>0.3</v>
      </c>
      <c r="U18" s="51">
        <f t="shared" si="6"/>
        <v>49.384265073237607</v>
      </c>
      <c r="V18" s="51">
        <f t="shared" si="7"/>
        <v>-0.18562675886236574</v>
      </c>
      <c r="W18" s="51">
        <f t="shared" si="35"/>
        <v>33.512501854297163</v>
      </c>
      <c r="X18" s="51">
        <f t="shared" si="36"/>
        <v>65.256028292178058</v>
      </c>
      <c r="Y18" s="51">
        <f t="shared" si="37"/>
        <v>8.0978383770104312</v>
      </c>
      <c r="AA18" s="9">
        <f t="shared" si="8"/>
        <v>7</v>
      </c>
      <c r="AB18" s="10">
        <f t="shared" si="9"/>
        <v>0.32500000000000001</v>
      </c>
      <c r="AC18" s="11">
        <f t="shared" si="38"/>
        <v>-0.11683155794713029</v>
      </c>
      <c r="AD18">
        <f>'Valeurs Maximales Annuelles'!J13</f>
        <v>48.409487977623897</v>
      </c>
      <c r="AE18" s="12">
        <f t="shared" si="39"/>
        <v>52.099124435209312</v>
      </c>
      <c r="AF18" s="50">
        <f t="shared" si="40"/>
        <v>1.4285714285714286</v>
      </c>
      <c r="AG18" s="51">
        <v>0.3</v>
      </c>
      <c r="AH18" s="51">
        <f t="shared" si="10"/>
        <v>50.31617316158956</v>
      </c>
      <c r="AI18" s="51">
        <f t="shared" si="11"/>
        <v>-0.18562675886236574</v>
      </c>
      <c r="AJ18" s="51">
        <f t="shared" si="41"/>
        <v>37.710496558369449</v>
      </c>
      <c r="AK18" s="51">
        <f t="shared" si="42"/>
        <v>62.921849764809672</v>
      </c>
      <c r="AL18" s="51">
        <f t="shared" si="43"/>
        <v>6.4314676547041376</v>
      </c>
      <c r="AN18" s="9">
        <f t="shared" si="12"/>
        <v>7</v>
      </c>
      <c r="AO18" s="10">
        <f t="shared" si="13"/>
        <v>0.32500000000000001</v>
      </c>
      <c r="AP18" s="11">
        <f t="shared" si="44"/>
        <v>-0.11683155794713029</v>
      </c>
      <c r="AQ18">
        <f>'Valeurs Maximales Annuelles'!L13</f>
        <v>49.235622100531998</v>
      </c>
      <c r="AR18" s="12">
        <f t="shared" si="45"/>
        <v>52.683035780093377</v>
      </c>
      <c r="AS18" s="50">
        <f t="shared" si="46"/>
        <v>1.4285714285714286</v>
      </c>
      <c r="AT18" s="51">
        <v>0.3</v>
      </c>
      <c r="AU18" s="51">
        <f t="shared" si="14"/>
        <v>50.348238514698849</v>
      </c>
      <c r="AV18" s="51">
        <f t="shared" si="15"/>
        <v>-0.18562675886236574</v>
      </c>
      <c r="AW18" s="51">
        <f t="shared" si="47"/>
        <v>33.840945411902013</v>
      </c>
      <c r="AX18" s="51">
        <f t="shared" si="48"/>
        <v>66.855531617495686</v>
      </c>
      <c r="AY18" s="51">
        <f t="shared" si="49"/>
        <v>8.422088317753488</v>
      </c>
      <c r="BA18" s="9">
        <f t="shared" si="16"/>
        <v>7</v>
      </c>
      <c r="BB18" s="10">
        <f t="shared" si="17"/>
        <v>0.32500000000000001</v>
      </c>
      <c r="BC18" s="11">
        <f t="shared" si="50"/>
        <v>-0.11683155794713029</v>
      </c>
      <c r="BD18" s="32">
        <f>'Valeurs Maximales Annuelles'!N13</f>
        <v>50.365691408514998</v>
      </c>
      <c r="BE18" s="12">
        <f t="shared" si="18"/>
        <v>55.081454046528059</v>
      </c>
      <c r="BF18" s="50">
        <f t="shared" si="51"/>
        <v>1.4285714285714286</v>
      </c>
      <c r="BG18" s="51">
        <v>0.3</v>
      </c>
      <c r="BH18" s="51">
        <f t="shared" si="19"/>
        <v>52.878254820486823</v>
      </c>
      <c r="BI18" s="51">
        <f t="shared" si="20"/>
        <v>-0.18562675886236574</v>
      </c>
      <c r="BJ18" s="51">
        <f t="shared" si="52"/>
        <v>37.301375436926257</v>
      </c>
      <c r="BK18" s="51">
        <f t="shared" si="53"/>
        <v>68.455134204047397</v>
      </c>
      <c r="BL18" s="51">
        <f t="shared" si="54"/>
        <v>7.9473874405921254</v>
      </c>
      <c r="BN18" s="9">
        <f t="shared" si="21"/>
        <v>7</v>
      </c>
      <c r="BO18" s="10">
        <f t="shared" si="22"/>
        <v>0.32500000000000001</v>
      </c>
      <c r="BP18" s="11">
        <f t="shared" si="55"/>
        <v>-0.11683155794713029</v>
      </c>
      <c r="BQ18" s="32">
        <f>'Valeurs Maximales Annuelles'!P13</f>
        <v>52.934497632086298</v>
      </c>
      <c r="BR18" s="12">
        <f t="shared" si="23"/>
        <v>52.869407676848141</v>
      </c>
      <c r="BS18" s="50">
        <f t="shared" si="56"/>
        <v>1.4285714285714286</v>
      </c>
      <c r="BT18" s="51">
        <v>0.3</v>
      </c>
      <c r="BU18" s="51">
        <f t="shared" si="24"/>
        <v>50.556934561101727</v>
      </c>
      <c r="BV18" s="51">
        <f t="shared" si="25"/>
        <v>-0.18562675886236574</v>
      </c>
      <c r="BW18" s="51">
        <f t="shared" si="57"/>
        <v>34.207475839462596</v>
      </c>
      <c r="BX18" s="51">
        <f t="shared" si="58"/>
        <v>66.906393282740851</v>
      </c>
      <c r="BY18" s="51">
        <f t="shared" si="59"/>
        <v>8.3415605722648625</v>
      </c>
    </row>
    <row r="19" spans="1:77" x14ac:dyDescent="0.3">
      <c r="A19" s="9">
        <f t="shared" si="0"/>
        <v>8</v>
      </c>
      <c r="B19" s="10">
        <f t="shared" si="1"/>
        <v>0.375</v>
      </c>
      <c r="C19" s="11">
        <f t="shared" si="26"/>
        <v>1.9356888580482099E-2</v>
      </c>
      <c r="D19">
        <f>'Valeurs Maximales Annuelles'!F14</f>
        <v>50.704897977411697</v>
      </c>
      <c r="E19" s="12">
        <f t="shared" si="27"/>
        <v>53.805676012748144</v>
      </c>
      <c r="F19" s="50">
        <f t="shared" si="28"/>
        <v>1.5384615384615383</v>
      </c>
      <c r="G19" s="51">
        <v>0.35</v>
      </c>
      <c r="H19" s="51">
        <f t="shared" si="2"/>
        <v>52.14678467003926</v>
      </c>
      <c r="I19" s="51">
        <f t="shared" si="3"/>
        <v>-4.8620744579389266E-2</v>
      </c>
      <c r="J19" s="51">
        <f t="shared" si="29"/>
        <v>40.323141478039616</v>
      </c>
      <c r="K19" s="51">
        <f t="shared" si="30"/>
        <v>63.970427862038903</v>
      </c>
      <c r="L19" s="51">
        <f t="shared" si="31"/>
        <v>6.0324710163263502</v>
      </c>
      <c r="N19" s="9">
        <f t="shared" si="4"/>
        <v>8</v>
      </c>
      <c r="O19" s="10">
        <f t="shared" si="5"/>
        <v>0.375</v>
      </c>
      <c r="P19" s="11">
        <f t="shared" si="32"/>
        <v>1.9356888580482099E-2</v>
      </c>
      <c r="Q19" s="32">
        <f>'Valeurs Maximales Annuelles'!H14</f>
        <v>53.529602028429501</v>
      </c>
      <c r="R19" s="12">
        <f t="shared" si="33"/>
        <v>56.073239914483956</v>
      </c>
      <c r="S19" s="50">
        <f t="shared" si="34"/>
        <v>1.5384615384615383</v>
      </c>
      <c r="T19" s="51">
        <v>0.35</v>
      </c>
      <c r="U19" s="51">
        <f t="shared" si="6"/>
        <v>53.855010881845487</v>
      </c>
      <c r="V19" s="51">
        <f t="shared" si="7"/>
        <v>-4.8620744579389266E-2</v>
      </c>
      <c r="W19" s="51">
        <f t="shared" si="35"/>
        <v>38.04472365879959</v>
      </c>
      <c r="X19" s="51">
        <f t="shared" si="36"/>
        <v>69.665298104891392</v>
      </c>
      <c r="Y19" s="51">
        <f t="shared" si="37"/>
        <v>8.0664730729826015</v>
      </c>
      <c r="AA19" s="9">
        <f t="shared" si="8"/>
        <v>8</v>
      </c>
      <c r="AB19" s="10">
        <f t="shared" si="9"/>
        <v>0.375</v>
      </c>
      <c r="AC19" s="11">
        <f t="shared" si="38"/>
        <v>1.9356888580482099E-2</v>
      </c>
      <c r="AD19">
        <f>'Valeurs Maximales Annuelles'!J14</f>
        <v>48.725679181516199</v>
      </c>
      <c r="AE19" s="12">
        <f t="shared" si="39"/>
        <v>55.628692791116649</v>
      </c>
      <c r="AF19" s="50">
        <f t="shared" si="40"/>
        <v>1.5384615384615383</v>
      </c>
      <c r="AG19" s="51">
        <v>0.35</v>
      </c>
      <c r="AH19" s="51">
        <f t="shared" si="10"/>
        <v>53.866930255247553</v>
      </c>
      <c r="AI19" s="51">
        <f t="shared" si="11"/>
        <v>-4.8620744579389266E-2</v>
      </c>
      <c r="AJ19" s="51">
        <f t="shared" si="41"/>
        <v>41.310079136154044</v>
      </c>
      <c r="AK19" s="51">
        <f t="shared" si="42"/>
        <v>66.423781374341061</v>
      </c>
      <c r="AL19" s="51">
        <f t="shared" si="43"/>
        <v>6.4065566934150553</v>
      </c>
      <c r="AN19" s="9">
        <f t="shared" si="12"/>
        <v>8</v>
      </c>
      <c r="AO19" s="10">
        <f t="shared" si="13"/>
        <v>0.375</v>
      </c>
      <c r="AP19" s="11">
        <f t="shared" si="44"/>
        <v>1.9356888580482099E-2</v>
      </c>
      <c r="AQ19">
        <f>'Valeurs Maximales Annuelles'!L14</f>
        <v>53.175627887249</v>
      </c>
      <c r="AR19" s="12">
        <f t="shared" si="45"/>
        <v>57.305050227333417</v>
      </c>
      <c r="AS19" s="50">
        <f t="shared" si="46"/>
        <v>1.5384615384615383</v>
      </c>
      <c r="AT19" s="51">
        <v>0.35</v>
      </c>
      <c r="AU19" s="51">
        <f t="shared" si="14"/>
        <v>54.997999882277853</v>
      </c>
      <c r="AV19" s="51">
        <f t="shared" si="15"/>
        <v>-4.8620744579389266E-2</v>
      </c>
      <c r="AW19" s="51">
        <f t="shared" si="47"/>
        <v>38.5546443690871</v>
      </c>
      <c r="AX19" s="51">
        <f t="shared" si="48"/>
        <v>71.441355395468605</v>
      </c>
      <c r="AY19" s="51">
        <f t="shared" si="49"/>
        <v>8.3894670985667084</v>
      </c>
      <c r="BA19" s="9">
        <f t="shared" si="16"/>
        <v>8</v>
      </c>
      <c r="BB19" s="10">
        <f t="shared" si="17"/>
        <v>0.375</v>
      </c>
      <c r="BC19" s="11">
        <f t="shared" si="50"/>
        <v>1.9356888580482099E-2</v>
      </c>
      <c r="BD19" s="32">
        <f>'Valeurs Maximales Annuelles'!N14</f>
        <v>51.343814246356501</v>
      </c>
      <c r="BE19" s="12">
        <f t="shared" si="18"/>
        <v>59.442954209236987</v>
      </c>
      <c r="BF19" s="50">
        <f t="shared" si="51"/>
        <v>1.5384615384615383</v>
      </c>
      <c r="BG19" s="51">
        <v>0.35</v>
      </c>
      <c r="BH19" s="51">
        <f t="shared" si="19"/>
        <v>57.265937981746397</v>
      </c>
      <c r="BI19" s="51">
        <f t="shared" si="20"/>
        <v>-4.8620744579389266E-2</v>
      </c>
      <c r="BJ19" s="51">
        <f t="shared" si="52"/>
        <v>41.749392422463835</v>
      </c>
      <c r="BK19" s="51">
        <f t="shared" si="53"/>
        <v>72.782483541028952</v>
      </c>
      <c r="BL19" s="51">
        <f t="shared" si="54"/>
        <v>7.9166048771849802</v>
      </c>
      <c r="BN19" s="9">
        <f t="shared" si="21"/>
        <v>8</v>
      </c>
      <c r="BO19" s="10">
        <f t="shared" si="22"/>
        <v>0.375</v>
      </c>
      <c r="BP19" s="11">
        <f t="shared" si="55"/>
        <v>1.9356888580482099E-2</v>
      </c>
      <c r="BQ19" s="32">
        <f>'Valeurs Maximales Annuelles'!P14</f>
        <v>54.546706750989003</v>
      </c>
      <c r="BR19" s="12">
        <f t="shared" si="23"/>
        <v>57.44722876146723</v>
      </c>
      <c r="BS19" s="50">
        <f t="shared" si="56"/>
        <v>1.5384615384615383</v>
      </c>
      <c r="BT19" s="51">
        <v>0.35</v>
      </c>
      <c r="BU19" s="51">
        <f t="shared" si="24"/>
        <v>55.162237264052166</v>
      </c>
      <c r="BV19" s="51">
        <f t="shared" si="25"/>
        <v>-4.8620744579389266E-2</v>
      </c>
      <c r="BW19" s="51">
        <f t="shared" si="57"/>
        <v>38.876104793150581</v>
      </c>
      <c r="BX19" s="51">
        <f t="shared" si="58"/>
        <v>71.448369734953758</v>
      </c>
      <c r="BY19" s="51">
        <f t="shared" si="59"/>
        <v>8.3092512606640732</v>
      </c>
    </row>
    <row r="20" spans="1:77" x14ac:dyDescent="0.3">
      <c r="A20" s="9">
        <f t="shared" si="0"/>
        <v>9</v>
      </c>
      <c r="B20" s="10">
        <f t="shared" si="1"/>
        <v>0.42499999999999999</v>
      </c>
      <c r="C20" s="11">
        <f t="shared" si="26"/>
        <v>0.15587503727672322</v>
      </c>
      <c r="D20">
        <f>'Valeurs Maximales Annuelles'!F15</f>
        <v>52.0278409123421</v>
      </c>
      <c r="E20" s="12">
        <f t="shared" si="27"/>
        <v>57.13719499138373</v>
      </c>
      <c r="F20" s="50">
        <f t="shared" si="28"/>
        <v>1.6666666666666667</v>
      </c>
      <c r="G20" s="51">
        <v>0.4</v>
      </c>
      <c r="H20" s="51">
        <f t="shared" si="2"/>
        <v>55.466691680301565</v>
      </c>
      <c r="I20" s="51">
        <f t="shared" si="3"/>
        <v>8.7421571790755173E-2</v>
      </c>
      <c r="J20" s="51">
        <f t="shared" si="29"/>
        <v>43.481834242843462</v>
      </c>
      <c r="K20" s="51">
        <f t="shared" si="30"/>
        <v>67.451549117759669</v>
      </c>
      <c r="L20" s="51">
        <f t="shared" si="31"/>
        <v>6.1147231823765837</v>
      </c>
      <c r="N20" s="9">
        <f t="shared" si="4"/>
        <v>9</v>
      </c>
      <c r="O20" s="10">
        <f t="shared" si="5"/>
        <v>0.42499999999999999</v>
      </c>
      <c r="P20" s="11">
        <f t="shared" si="32"/>
        <v>0.15587503727672322</v>
      </c>
      <c r="Q20" s="32">
        <f>'Valeurs Maximales Annuelles'!H15</f>
        <v>53.9384481310844</v>
      </c>
      <c r="R20" s="12">
        <f t="shared" si="33"/>
        <v>60.528065815936841</v>
      </c>
      <c r="S20" s="50">
        <f t="shared" si="34"/>
        <v>1.6666666666666667</v>
      </c>
      <c r="T20" s="51">
        <v>0.4</v>
      </c>
      <c r="U20" s="51">
        <f t="shared" si="6"/>
        <v>58.294309542478835</v>
      </c>
      <c r="V20" s="51">
        <f t="shared" si="7"/>
        <v>8.7421571790755173E-2</v>
      </c>
      <c r="W20" s="51">
        <f t="shared" si="35"/>
        <v>42.268450563439025</v>
      </c>
      <c r="X20" s="51">
        <f t="shared" si="36"/>
        <v>74.320168521518639</v>
      </c>
      <c r="Y20" s="51">
        <f t="shared" si="37"/>
        <v>8.1764586627754134</v>
      </c>
      <c r="AA20" s="9">
        <f t="shared" si="8"/>
        <v>9</v>
      </c>
      <c r="AB20" s="10">
        <f t="shared" si="9"/>
        <v>0.42499999999999999</v>
      </c>
      <c r="AC20" s="11">
        <f t="shared" si="38"/>
        <v>0.15587503727672322</v>
      </c>
      <c r="AD20">
        <f>'Valeurs Maximales Annuelles'!J15</f>
        <v>53.1774655357003</v>
      </c>
      <c r="AE20" s="12">
        <f t="shared" si="39"/>
        <v>59.166805971279899</v>
      </c>
      <c r="AF20" s="50">
        <f t="shared" si="40"/>
        <v>1.6666666666666667</v>
      </c>
      <c r="AG20" s="51">
        <v>0.4</v>
      </c>
      <c r="AH20" s="51">
        <f t="shared" si="10"/>
        <v>57.392711385492255</v>
      </c>
      <c r="AI20" s="51">
        <f t="shared" si="11"/>
        <v>8.7421571790755173E-2</v>
      </c>
      <c r="AJ20" s="51">
        <f t="shared" si="41"/>
        <v>44.664648800894732</v>
      </c>
      <c r="AK20" s="51">
        <f t="shared" si="42"/>
        <v>70.120773970089786</v>
      </c>
      <c r="AL20" s="51">
        <f t="shared" si="43"/>
        <v>6.4939094819375134</v>
      </c>
      <c r="AN20" s="9">
        <f t="shared" si="12"/>
        <v>9</v>
      </c>
      <c r="AO20" s="10">
        <f t="shared" si="13"/>
        <v>0.42499999999999999</v>
      </c>
      <c r="AP20" s="11">
        <f t="shared" si="44"/>
        <v>0.15587503727672322</v>
      </c>
      <c r="AQ20">
        <f>'Valeurs Maximales Annuelles'!L15</f>
        <v>57.815446816384799</v>
      </c>
      <c r="AR20" s="12">
        <f t="shared" si="45"/>
        <v>61.938254230116101</v>
      </c>
      <c r="AS20" s="50">
        <f t="shared" si="46"/>
        <v>1.6666666666666667</v>
      </c>
      <c r="AT20" s="51">
        <v>0.4</v>
      </c>
      <c r="AU20" s="51">
        <f t="shared" si="14"/>
        <v>59.615054909565501</v>
      </c>
      <c r="AV20" s="51">
        <f t="shared" si="15"/>
        <v>8.7421571790755173E-2</v>
      </c>
      <c r="AW20" s="51">
        <f t="shared" si="47"/>
        <v>42.947495814719147</v>
      </c>
      <c r="AX20" s="51">
        <f t="shared" si="48"/>
        <v>76.282614004411855</v>
      </c>
      <c r="AY20" s="51">
        <f t="shared" si="49"/>
        <v>8.5038566810440575</v>
      </c>
      <c r="BA20" s="9">
        <f t="shared" si="16"/>
        <v>9</v>
      </c>
      <c r="BB20" s="10">
        <f t="shared" si="17"/>
        <v>0.42499999999999999</v>
      </c>
      <c r="BC20" s="11">
        <f t="shared" si="50"/>
        <v>0.15587503727672322</v>
      </c>
      <c r="BD20" s="32">
        <f>'Valeurs Maximales Annuelles'!N15</f>
        <v>54.546706750989003</v>
      </c>
      <c r="BE20" s="12">
        <f t="shared" si="18"/>
        <v>63.815013241650242</v>
      </c>
      <c r="BF20" s="50">
        <f t="shared" si="51"/>
        <v>1.6666666666666667</v>
      </c>
      <c r="BG20" s="51">
        <v>0.4</v>
      </c>
      <c r="BH20" s="51">
        <f t="shared" si="19"/>
        <v>61.622758256242896</v>
      </c>
      <c r="BI20" s="51">
        <f t="shared" si="20"/>
        <v>8.7421571790755173E-2</v>
      </c>
      <c r="BJ20" s="51">
        <f t="shared" si="52"/>
        <v>45.894646080491896</v>
      </c>
      <c r="BK20" s="51">
        <f t="shared" si="53"/>
        <v>77.350870431993897</v>
      </c>
      <c r="BL20" s="51">
        <f t="shared" si="54"/>
        <v>8.0245470284443901</v>
      </c>
      <c r="BN20" s="9">
        <f t="shared" si="21"/>
        <v>9</v>
      </c>
      <c r="BO20" s="10">
        <f t="shared" si="22"/>
        <v>0.42499999999999999</v>
      </c>
      <c r="BP20" s="11">
        <f t="shared" si="55"/>
        <v>0.15587503727672322</v>
      </c>
      <c r="BQ20" s="32">
        <f>'Valeurs Maximales Annuelles'!P15</f>
        <v>60.656312517821803</v>
      </c>
      <c r="BR20" s="12">
        <f t="shared" si="23"/>
        <v>62.036132412762697</v>
      </c>
      <c r="BS20" s="50">
        <f t="shared" si="56"/>
        <v>1.6666666666666667</v>
      </c>
      <c r="BT20" s="51">
        <v>0.4</v>
      </c>
      <c r="BU20" s="51">
        <f t="shared" si="24"/>
        <v>59.735146348182141</v>
      </c>
      <c r="BV20" s="51">
        <f t="shared" si="25"/>
        <v>8.7421571790755173E-2</v>
      </c>
      <c r="BW20" s="51">
        <f t="shared" si="57"/>
        <v>43.226954016787687</v>
      </c>
      <c r="BX20" s="51">
        <f t="shared" si="58"/>
        <v>76.243338679576595</v>
      </c>
      <c r="BY20" s="51">
        <f t="shared" si="59"/>
        <v>8.4225471078543119</v>
      </c>
    </row>
    <row r="21" spans="1:77" x14ac:dyDescent="0.3">
      <c r="A21" s="9">
        <f t="shared" si="0"/>
        <v>10</v>
      </c>
      <c r="B21" s="10">
        <f t="shared" si="1"/>
        <v>0.47499999999999998</v>
      </c>
      <c r="C21" s="11">
        <f t="shared" si="26"/>
        <v>0.29512238311359518</v>
      </c>
      <c r="D21">
        <f>'Valeurs Maximales Annuelles'!F16</f>
        <v>53.786801397800403</v>
      </c>
      <c r="E21" s="12">
        <f t="shared" si="27"/>
        <v>60.535315899193442</v>
      </c>
      <c r="F21" s="50">
        <f t="shared" si="28"/>
        <v>1.8181818181818181</v>
      </c>
      <c r="G21" s="51">
        <v>0.45</v>
      </c>
      <c r="H21" s="51">
        <f t="shared" si="2"/>
        <v>58.824345636259494</v>
      </c>
      <c r="I21" s="51">
        <f t="shared" si="3"/>
        <v>0.22501067302940872</v>
      </c>
      <c r="J21" s="51">
        <f t="shared" si="29"/>
        <v>46.475047039639243</v>
      </c>
      <c r="K21" s="51">
        <f t="shared" si="30"/>
        <v>71.173644232879738</v>
      </c>
      <c r="L21" s="51">
        <f t="shared" si="31"/>
        <v>6.300662549296046</v>
      </c>
      <c r="N21" s="9">
        <f t="shared" si="4"/>
        <v>10</v>
      </c>
      <c r="O21" s="10">
        <f t="shared" si="5"/>
        <v>0.47499999999999998</v>
      </c>
      <c r="P21" s="11">
        <f t="shared" si="32"/>
        <v>0.29512238311359518</v>
      </c>
      <c r="Q21" s="32">
        <f>'Valeurs Maximales Annuelles'!H16</f>
        <v>55.149308592081098</v>
      </c>
      <c r="R21" s="12">
        <f t="shared" si="33"/>
        <v>65.071950192239882</v>
      </c>
      <c r="S21" s="50">
        <f t="shared" si="34"/>
        <v>1.8181818181818181</v>
      </c>
      <c r="T21" s="51">
        <v>0.45</v>
      </c>
      <c r="U21" s="51">
        <f t="shared" si="6"/>
        <v>62.784082498010086</v>
      </c>
      <c r="V21" s="51">
        <f t="shared" si="7"/>
        <v>0.22501067302940872</v>
      </c>
      <c r="W21" s="51">
        <f t="shared" si="35"/>
        <v>46.270901691959118</v>
      </c>
      <c r="X21" s="51">
        <f t="shared" si="36"/>
        <v>79.297263304061062</v>
      </c>
      <c r="Y21" s="51">
        <f t="shared" si="37"/>
        <v>8.4250922479851873</v>
      </c>
      <c r="AA21" s="9">
        <f t="shared" si="8"/>
        <v>10</v>
      </c>
      <c r="AB21" s="10">
        <f t="shared" si="9"/>
        <v>0.47499999999999998</v>
      </c>
      <c r="AC21" s="11">
        <f t="shared" si="38"/>
        <v>0.29512238311359518</v>
      </c>
      <c r="AD21" s="32">
        <f>'Valeurs Maximales Annuelles'!J16</f>
        <v>53.3009943366051</v>
      </c>
      <c r="AE21" s="12">
        <f t="shared" si="39"/>
        <v>62.775651200381319</v>
      </c>
      <c r="AF21" s="50">
        <f t="shared" si="40"/>
        <v>1.8181818181818181</v>
      </c>
      <c r="AG21" s="51">
        <v>0.45</v>
      </c>
      <c r="AH21" s="51">
        <f t="shared" si="10"/>
        <v>60.958580225557334</v>
      </c>
      <c r="AI21" s="51">
        <f t="shared" si="11"/>
        <v>0.22501067302940872</v>
      </c>
      <c r="AJ21" s="51">
        <f t="shared" si="41"/>
        <v>47.843476751535356</v>
      </c>
      <c r="AK21" s="51">
        <f t="shared" si="42"/>
        <v>74.073683699579306</v>
      </c>
      <c r="AL21" s="51">
        <f t="shared" si="43"/>
        <v>6.6913793234806009</v>
      </c>
      <c r="AN21" s="9">
        <f t="shared" si="12"/>
        <v>10</v>
      </c>
      <c r="AO21" s="10">
        <f t="shared" si="13"/>
        <v>0.47499999999999998</v>
      </c>
      <c r="AP21" s="11">
        <f t="shared" si="44"/>
        <v>0.29512238311359518</v>
      </c>
      <c r="AQ21">
        <f>'Valeurs Maximales Annuelles'!L16</f>
        <v>58.036922179162502</v>
      </c>
      <c r="AR21" s="12">
        <f t="shared" si="45"/>
        <v>66.664082746467969</v>
      </c>
      <c r="AS21" s="50">
        <f t="shared" si="46"/>
        <v>1.8181818181818181</v>
      </c>
      <c r="AT21" s="51">
        <v>0.45</v>
      </c>
      <c r="AU21" s="51">
        <f t="shared" si="14"/>
        <v>64.284605300382907</v>
      </c>
      <c r="AV21" s="51">
        <f t="shared" si="15"/>
        <v>0.22501067302940872</v>
      </c>
      <c r="AW21" s="51">
        <f t="shared" si="47"/>
        <v>47.110211260805023</v>
      </c>
      <c r="AX21" s="51">
        <f t="shared" si="48"/>
        <v>81.458999339960798</v>
      </c>
      <c r="AY21" s="51">
        <f t="shared" si="49"/>
        <v>8.7624459385601448</v>
      </c>
      <c r="BA21" s="9">
        <f t="shared" si="16"/>
        <v>10</v>
      </c>
      <c r="BB21" s="10">
        <f t="shared" si="17"/>
        <v>0.47499999999999998</v>
      </c>
      <c r="BC21" s="11">
        <f t="shared" si="50"/>
        <v>0.29512238311359518</v>
      </c>
      <c r="BD21" s="32">
        <f>'Valeurs Maximales Annuelles'!N16</f>
        <v>55.723960474133499</v>
      </c>
      <c r="BE21" s="12">
        <f t="shared" si="18"/>
        <v>68.274476118342704</v>
      </c>
      <c r="BF21" s="50">
        <f t="shared" si="51"/>
        <v>1.8181818181818181</v>
      </c>
      <c r="BG21" s="51">
        <v>0.45</v>
      </c>
      <c r="BH21" s="51">
        <f t="shared" si="19"/>
        <v>66.029115056250106</v>
      </c>
      <c r="BI21" s="51">
        <f t="shared" si="20"/>
        <v>0.22501067302940872</v>
      </c>
      <c r="BJ21" s="51">
        <f t="shared" si="52"/>
        <v>49.82273507775929</v>
      </c>
      <c r="BK21" s="51">
        <f t="shared" si="53"/>
        <v>82.235495034740921</v>
      </c>
      <c r="BL21" s="51">
        <f t="shared" si="54"/>
        <v>8.2685612135157225</v>
      </c>
      <c r="BN21" s="9">
        <f t="shared" si="21"/>
        <v>10</v>
      </c>
      <c r="BO21" s="10">
        <f t="shared" si="22"/>
        <v>0.47499999999999998</v>
      </c>
      <c r="BP21" s="11">
        <f t="shared" si="55"/>
        <v>0.29512238311359518</v>
      </c>
      <c r="BQ21" s="32">
        <f>'Valeurs Maximales Annuelles'!P16</f>
        <v>62.855808734893799</v>
      </c>
      <c r="BR21" s="12">
        <f t="shared" si="23"/>
        <v>66.716774948912303</v>
      </c>
      <c r="BS21" s="50">
        <f t="shared" si="56"/>
        <v>1.8181818181818181</v>
      </c>
      <c r="BT21" s="51">
        <v>0.45</v>
      </c>
      <c r="BU21" s="51">
        <f t="shared" si="24"/>
        <v>64.360048861747373</v>
      </c>
      <c r="BV21" s="51">
        <f t="shared" si="25"/>
        <v>0.22501067302940872</v>
      </c>
      <c r="BW21" s="51">
        <f t="shared" si="57"/>
        <v>47.349867684818435</v>
      </c>
      <c r="BX21" s="51">
        <f t="shared" si="58"/>
        <v>81.370230038676311</v>
      </c>
      <c r="BY21" s="51">
        <f t="shared" si="59"/>
        <v>8.6786638657800719</v>
      </c>
    </row>
    <row r="22" spans="1:77" x14ac:dyDescent="0.3">
      <c r="A22" s="9">
        <f t="shared" si="0"/>
        <v>11</v>
      </c>
      <c r="B22" s="10">
        <f t="shared" si="1"/>
        <v>0.52500000000000002</v>
      </c>
      <c r="C22" s="11">
        <f t="shared" si="26"/>
        <v>0.43950233320868604</v>
      </c>
      <c r="D22">
        <f>'Valeurs Maximales Annuelles'!F17</f>
        <v>55.202283561229699</v>
      </c>
      <c r="E22" s="12">
        <f t="shared" si="27"/>
        <v>64.058690252492866</v>
      </c>
      <c r="F22" s="50">
        <f t="shared" si="28"/>
        <v>2</v>
      </c>
      <c r="G22" s="51">
        <v>0.5</v>
      </c>
      <c r="H22" s="51">
        <f t="shared" si="2"/>
        <v>62.277494010611207</v>
      </c>
      <c r="I22" s="51">
        <f t="shared" si="3"/>
        <v>0.36651292058166435</v>
      </c>
      <c r="J22" s="51">
        <f t="shared" si="29"/>
        <v>49.36020436103145</v>
      </c>
      <c r="K22" s="51">
        <f t="shared" si="30"/>
        <v>75.194783660190964</v>
      </c>
      <c r="L22" s="51">
        <f t="shared" si="31"/>
        <v>6.590453902846817</v>
      </c>
      <c r="N22" s="9">
        <f t="shared" si="4"/>
        <v>11</v>
      </c>
      <c r="O22" s="10">
        <f t="shared" si="5"/>
        <v>0.52500000000000002</v>
      </c>
      <c r="P22" s="11">
        <f t="shared" si="32"/>
        <v>0.43950233320868604</v>
      </c>
      <c r="Q22" s="32">
        <f>'Valeurs Maximales Annuelles'!H17</f>
        <v>58.1866316869855</v>
      </c>
      <c r="R22" s="12">
        <f t="shared" si="33"/>
        <v>69.783320420129556</v>
      </c>
      <c r="S22" s="50">
        <f t="shared" si="34"/>
        <v>2</v>
      </c>
      <c r="T22" s="51">
        <v>0.5</v>
      </c>
      <c r="U22" s="51">
        <f t="shared" si="6"/>
        <v>67.401548260105812</v>
      </c>
      <c r="V22" s="51">
        <f t="shared" si="7"/>
        <v>0.36651292058166435</v>
      </c>
      <c r="W22" s="51">
        <f t="shared" si="35"/>
        <v>50.128863674924702</v>
      </c>
      <c r="X22" s="51">
        <f t="shared" si="36"/>
        <v>84.674232845286923</v>
      </c>
      <c r="Y22" s="51">
        <f t="shared" si="37"/>
        <v>8.8125941761128139</v>
      </c>
      <c r="AA22" s="9">
        <f t="shared" si="8"/>
        <v>11</v>
      </c>
      <c r="AB22" s="10">
        <f t="shared" si="9"/>
        <v>0.52500000000000002</v>
      </c>
      <c r="AC22" s="11">
        <f t="shared" si="38"/>
        <v>0.43950233320868604</v>
      </c>
      <c r="AD22">
        <f>'Valeurs Maximales Annuelles'!J17</f>
        <v>58.509510643780203</v>
      </c>
      <c r="AE22" s="12">
        <f t="shared" si="39"/>
        <v>66.517517093387085</v>
      </c>
      <c r="AF22" s="50">
        <f t="shared" si="40"/>
        <v>2</v>
      </c>
      <c r="AG22" s="51">
        <v>0.5</v>
      </c>
      <c r="AH22" s="51">
        <f t="shared" si="10"/>
        <v>64.62586528522607</v>
      </c>
      <c r="AI22" s="51">
        <f t="shared" si="11"/>
        <v>0.36651292058166435</v>
      </c>
      <c r="AJ22" s="51">
        <f t="shared" si="41"/>
        <v>50.907548489119435</v>
      </c>
      <c r="AK22" s="51">
        <f t="shared" si="42"/>
        <v>78.344182081332704</v>
      </c>
      <c r="AL22" s="51">
        <f t="shared" si="43"/>
        <v>6.9991412225033853</v>
      </c>
      <c r="AN22" s="9">
        <f t="shared" si="12"/>
        <v>11</v>
      </c>
      <c r="AO22" s="10">
        <f t="shared" si="13"/>
        <v>0.52500000000000002</v>
      </c>
      <c r="AP22" s="11">
        <f t="shared" si="44"/>
        <v>0.43950233320868604</v>
      </c>
      <c r="AQ22">
        <f>'Valeurs Maximales Annuelles'!L17</f>
        <v>63.557695895433397</v>
      </c>
      <c r="AR22" s="12">
        <f t="shared" si="45"/>
        <v>71.564103506275984</v>
      </c>
      <c r="AS22" s="50">
        <f t="shared" si="46"/>
        <v>2</v>
      </c>
      <c r="AT22" s="51">
        <v>0.5</v>
      </c>
      <c r="AU22" s="51">
        <f t="shared" si="14"/>
        <v>69.086961514724905</v>
      </c>
      <c r="AV22" s="51">
        <f t="shared" si="15"/>
        <v>0.36651292058166435</v>
      </c>
      <c r="AW22" s="51">
        <f t="shared" si="47"/>
        <v>51.122651993052266</v>
      </c>
      <c r="AX22" s="51">
        <f t="shared" si="48"/>
        <v>87.051271036397537</v>
      </c>
      <c r="AY22" s="51">
        <f t="shared" si="49"/>
        <v>9.1654640416697148</v>
      </c>
      <c r="BA22" s="9">
        <f t="shared" si="16"/>
        <v>11</v>
      </c>
      <c r="BB22" s="10">
        <f t="shared" si="17"/>
        <v>0.52500000000000002</v>
      </c>
      <c r="BC22" s="11">
        <f t="shared" si="50"/>
        <v>0.43950233320868604</v>
      </c>
      <c r="BD22" s="32">
        <f>'Valeurs Maximales Annuelles'!N17</f>
        <v>65.458560660481496</v>
      </c>
      <c r="BE22" s="12">
        <f t="shared" si="18"/>
        <v>72.898313102223497</v>
      </c>
      <c r="BF22" s="50">
        <f t="shared" si="51"/>
        <v>2</v>
      </c>
      <c r="BG22" s="51">
        <v>0.5</v>
      </c>
      <c r="BH22" s="51">
        <f t="shared" si="19"/>
        <v>70.560792239290095</v>
      </c>
      <c r="BI22" s="51">
        <f t="shared" si="20"/>
        <v>0.36651292058166435</v>
      </c>
      <c r="BJ22" s="51">
        <f t="shared" si="52"/>
        <v>53.609019414669199</v>
      </c>
      <c r="BK22" s="51">
        <f t="shared" si="53"/>
        <v>87.512565063910984</v>
      </c>
      <c r="BL22" s="51">
        <f t="shared" si="54"/>
        <v>8.6488636860310688</v>
      </c>
      <c r="BN22" s="9">
        <f t="shared" si="21"/>
        <v>11</v>
      </c>
      <c r="BO22" s="10">
        <f t="shared" si="22"/>
        <v>0.52500000000000002</v>
      </c>
      <c r="BP22" s="11">
        <f t="shared" si="55"/>
        <v>0.43950233320868604</v>
      </c>
      <c r="BQ22" s="32">
        <f>'Valeurs Maximales Annuelles'!P17</f>
        <v>64.492448419332504</v>
      </c>
      <c r="BR22" s="12">
        <f t="shared" si="23"/>
        <v>71.569944190456965</v>
      </c>
      <c r="BS22" s="50">
        <f t="shared" si="56"/>
        <v>2</v>
      </c>
      <c r="BT22" s="51">
        <v>0.5</v>
      </c>
      <c r="BU22" s="51">
        <f t="shared" si="24"/>
        <v>69.116487376774927</v>
      </c>
      <c r="BV22" s="51">
        <f t="shared" si="25"/>
        <v>0.36651292058166435</v>
      </c>
      <c r="BW22" s="51">
        <f t="shared" si="57"/>
        <v>51.323943489759756</v>
      </c>
      <c r="BX22" s="51">
        <f t="shared" si="58"/>
        <v>86.909031263790098</v>
      </c>
      <c r="BY22" s="51">
        <f t="shared" si="59"/>
        <v>9.0778285137832526</v>
      </c>
    </row>
    <row r="23" spans="1:77" x14ac:dyDescent="0.3">
      <c r="A23" s="9">
        <f t="shared" si="0"/>
        <v>12</v>
      </c>
      <c r="B23" s="10">
        <f t="shared" si="1"/>
        <v>0.57499999999999996</v>
      </c>
      <c r="C23" s="11">
        <f t="shared" si="26"/>
        <v>0.59170088675056343</v>
      </c>
      <c r="D23">
        <f>'Valeurs Maximales Annuelles'!F18</f>
        <v>68.347725234925704</v>
      </c>
      <c r="E23" s="12">
        <f t="shared" si="27"/>
        <v>67.772865799759202</v>
      </c>
      <c r="F23" s="50">
        <f t="shared" si="28"/>
        <v>2.2222222222222223</v>
      </c>
      <c r="G23" s="51">
        <v>0.55000000000000004</v>
      </c>
      <c r="H23" s="51">
        <f t="shared" si="2"/>
        <v>65.887360803791367</v>
      </c>
      <c r="I23" s="51">
        <f t="shared" si="3"/>
        <v>0.51443713617380327</v>
      </c>
      <c r="J23" s="51">
        <f t="shared" si="29"/>
        <v>52.193224695476395</v>
      </c>
      <c r="K23" s="51">
        <f t="shared" si="30"/>
        <v>79.581496912106346</v>
      </c>
      <c r="L23" s="51">
        <f t="shared" si="31"/>
        <v>6.9868041368953948</v>
      </c>
      <c r="N23" s="9">
        <f t="shared" si="4"/>
        <v>12</v>
      </c>
      <c r="O23" s="10">
        <f t="shared" si="5"/>
        <v>0.57499999999999996</v>
      </c>
      <c r="P23" s="11">
        <f t="shared" si="32"/>
        <v>0.59170088675056343</v>
      </c>
      <c r="Q23" s="32">
        <f>'Valeurs Maximales Annuelles'!H18</f>
        <v>58.467666171491203</v>
      </c>
      <c r="R23" s="12">
        <f t="shared" si="33"/>
        <v>74.749825349746203</v>
      </c>
      <c r="S23" s="50">
        <f t="shared" si="34"/>
        <v>2.2222222222222223</v>
      </c>
      <c r="T23" s="51">
        <v>0.55000000000000004</v>
      </c>
      <c r="U23" s="51">
        <f t="shared" si="6"/>
        <v>72.228574068507399</v>
      </c>
      <c r="V23" s="51">
        <f t="shared" si="7"/>
        <v>0.51443713617380327</v>
      </c>
      <c r="W23" s="51">
        <f t="shared" si="35"/>
        <v>53.917109350894648</v>
      </c>
      <c r="X23" s="51">
        <f t="shared" si="36"/>
        <v>90.540038786120149</v>
      </c>
      <c r="Y23" s="51">
        <f t="shared" si="37"/>
        <v>9.3425840395983411</v>
      </c>
      <c r="AA23" s="9">
        <f t="shared" si="8"/>
        <v>12</v>
      </c>
      <c r="AB23" s="10">
        <f t="shared" si="9"/>
        <v>0.57499999999999996</v>
      </c>
      <c r="AC23" s="11">
        <f t="shared" si="38"/>
        <v>0.59170088675056343</v>
      </c>
      <c r="AD23">
        <f>'Valeurs Maximales Annuelles'!J18</f>
        <v>60.713037215173301</v>
      </c>
      <c r="AE23" s="12">
        <f t="shared" si="39"/>
        <v>70.462016146670294</v>
      </c>
      <c r="AF23" s="50">
        <f t="shared" si="40"/>
        <v>2.2222222222222223</v>
      </c>
      <c r="AG23" s="51">
        <v>0.55000000000000004</v>
      </c>
      <c r="AH23" s="51">
        <f t="shared" si="10"/>
        <v>68.459587188504912</v>
      </c>
      <c r="AI23" s="51">
        <f t="shared" si="11"/>
        <v>0.51443713617380327</v>
      </c>
      <c r="AJ23" s="51">
        <f t="shared" si="41"/>
        <v>53.916250120192032</v>
      </c>
      <c r="AK23" s="51">
        <f t="shared" si="42"/>
        <v>83.002924256817792</v>
      </c>
      <c r="AL23" s="51">
        <f t="shared" si="43"/>
        <v>7.4200699328126944</v>
      </c>
      <c r="AN23" s="9">
        <f t="shared" si="12"/>
        <v>12</v>
      </c>
      <c r="AO23" s="10">
        <f t="shared" si="13"/>
        <v>0.57499999999999996</v>
      </c>
      <c r="AP23" s="11">
        <f t="shared" si="44"/>
        <v>0.59170088675056343</v>
      </c>
      <c r="AQ23" s="32">
        <f>'Valeurs Maximales Annuelles'!L18</f>
        <v>64.341592267155605</v>
      </c>
      <c r="AR23" s="12">
        <f t="shared" si="45"/>
        <v>76.729474954851582</v>
      </c>
      <c r="AS23" s="50">
        <f t="shared" si="46"/>
        <v>2.2222222222222223</v>
      </c>
      <c r="AT23" s="51">
        <v>0.55000000000000004</v>
      </c>
      <c r="AU23" s="51">
        <f t="shared" si="14"/>
        <v>74.107268882904577</v>
      </c>
      <c r="AV23" s="51">
        <f t="shared" si="15"/>
        <v>0.51443713617380327</v>
      </c>
      <c r="AW23" s="51">
        <f t="shared" si="47"/>
        <v>55.06258486982393</v>
      </c>
      <c r="AX23" s="51">
        <f t="shared" si="48"/>
        <v>93.151952895985232</v>
      </c>
      <c r="AY23" s="51">
        <f t="shared" si="49"/>
        <v>9.7166755168778813</v>
      </c>
      <c r="BA23" s="9">
        <f t="shared" si="16"/>
        <v>12</v>
      </c>
      <c r="BB23" s="10">
        <f t="shared" si="17"/>
        <v>0.57499999999999996</v>
      </c>
      <c r="BC23" s="11">
        <f t="shared" si="50"/>
        <v>0.59170088675056343</v>
      </c>
      <c r="BD23" s="32">
        <f>'Valeurs Maximales Annuelles'!N18</f>
        <v>69.1698601841927</v>
      </c>
      <c r="BE23" s="12">
        <f t="shared" si="18"/>
        <v>77.772544602487898</v>
      </c>
      <c r="BF23" s="50">
        <f t="shared" si="51"/>
        <v>2.2222222222222223</v>
      </c>
      <c r="BG23" s="51">
        <v>0.55000000000000004</v>
      </c>
      <c r="BH23" s="51">
        <f t="shared" si="19"/>
        <v>75.298136021553546</v>
      </c>
      <c r="BI23" s="51">
        <f t="shared" si="20"/>
        <v>0.51443713617380327</v>
      </c>
      <c r="BJ23" s="51">
        <f t="shared" si="52"/>
        <v>57.326882714158238</v>
      </c>
      <c r="BK23" s="51">
        <f t="shared" si="53"/>
        <v>93.269389328948847</v>
      </c>
      <c r="BL23" s="51">
        <f t="shared" si="54"/>
        <v>9.169006789487403</v>
      </c>
      <c r="BN23" s="9">
        <f t="shared" si="21"/>
        <v>12</v>
      </c>
      <c r="BO23" s="10">
        <f t="shared" si="22"/>
        <v>0.57499999999999996</v>
      </c>
      <c r="BP23" s="11">
        <f t="shared" si="55"/>
        <v>0.59170088675056343</v>
      </c>
      <c r="BQ23" s="32">
        <f>'Valeurs Maximales Annuelles'!P18</f>
        <v>64.768307916820007</v>
      </c>
      <c r="BR23" s="12">
        <f t="shared" si="23"/>
        <v>76.685926971795695</v>
      </c>
      <c r="BS23" s="50">
        <f t="shared" si="56"/>
        <v>2.2222222222222223</v>
      </c>
      <c r="BT23" s="51">
        <v>0.55000000000000004</v>
      </c>
      <c r="BU23" s="51">
        <f t="shared" si="24"/>
        <v>74.088793107027442</v>
      </c>
      <c r="BV23" s="51">
        <f t="shared" si="25"/>
        <v>0.51443713617380327</v>
      </c>
      <c r="BW23" s="51">
        <f t="shared" si="57"/>
        <v>55.2262047226383</v>
      </c>
      <c r="BX23" s="51">
        <f t="shared" si="58"/>
        <v>92.951381491416583</v>
      </c>
      <c r="BY23" s="51">
        <f t="shared" si="59"/>
        <v>9.6237695838720132</v>
      </c>
    </row>
    <row r="24" spans="1:77" x14ac:dyDescent="0.3">
      <c r="A24" s="9">
        <f t="shared" si="0"/>
        <v>13</v>
      </c>
      <c r="B24" s="10">
        <f t="shared" si="1"/>
        <v>0.625</v>
      </c>
      <c r="C24" s="11">
        <f t="shared" si="26"/>
        <v>0.75501486250840832</v>
      </c>
      <c r="D24">
        <f>'Valeurs Maximales Annuelles'!F19</f>
        <v>70.875375978648705</v>
      </c>
      <c r="E24" s="12">
        <f t="shared" si="27"/>
        <v>71.758296417664098</v>
      </c>
      <c r="F24" s="50">
        <f t="shared" si="28"/>
        <v>2.5</v>
      </c>
      <c r="G24" s="51">
        <v>0.6</v>
      </c>
      <c r="H24" s="51">
        <f t="shared" si="2"/>
        <v>69.725781886578602</v>
      </c>
      <c r="I24" s="51">
        <f t="shared" si="3"/>
        <v>0.67172699209212194</v>
      </c>
      <c r="J24" s="51">
        <f t="shared" si="29"/>
        <v>55.033279218222809</v>
      </c>
      <c r="K24" s="51">
        <f t="shared" si="30"/>
        <v>84.418284554934402</v>
      </c>
      <c r="L24" s="51">
        <f t="shared" si="31"/>
        <v>7.4961748307937732</v>
      </c>
      <c r="N24" s="9">
        <f t="shared" si="4"/>
        <v>13</v>
      </c>
      <c r="O24" s="10">
        <f t="shared" si="5"/>
        <v>0.625</v>
      </c>
      <c r="P24" s="11">
        <f t="shared" si="32"/>
        <v>0.75501486250840832</v>
      </c>
      <c r="Q24" s="32">
        <f>'Valeurs Maximales Annuelles'!H19</f>
        <v>61.421307362616098</v>
      </c>
      <c r="R24" s="12">
        <f t="shared" si="33"/>
        <v>80.079045942197197</v>
      </c>
      <c r="S24" s="50">
        <f t="shared" si="34"/>
        <v>2.5</v>
      </c>
      <c r="T24" s="51">
        <v>0.6</v>
      </c>
      <c r="U24" s="51">
        <f t="shared" si="6"/>
        <v>77.361217097089664</v>
      </c>
      <c r="V24" s="51">
        <f t="shared" si="7"/>
        <v>0.67172699209212194</v>
      </c>
      <c r="W24" s="51">
        <f t="shared" si="35"/>
        <v>57.714760971853067</v>
      </c>
      <c r="X24" s="51">
        <f t="shared" si="36"/>
        <v>97.007673222326261</v>
      </c>
      <c r="Y24" s="51">
        <f t="shared" si="37"/>
        <v>10.023702104712548</v>
      </c>
      <c r="AA24" s="9">
        <f t="shared" si="8"/>
        <v>13</v>
      </c>
      <c r="AB24" s="10">
        <f t="shared" si="9"/>
        <v>0.625</v>
      </c>
      <c r="AC24" s="11">
        <f t="shared" si="38"/>
        <v>0.75501486250840832</v>
      </c>
      <c r="AD24" s="32">
        <f>'Valeurs Maximales Annuelles'!J19</f>
        <v>65.493966825306401</v>
      </c>
      <c r="AE24" s="12">
        <f t="shared" si="39"/>
        <v>74.694591343828705</v>
      </c>
      <c r="AF24" s="50">
        <f t="shared" si="40"/>
        <v>2.5</v>
      </c>
      <c r="AG24" s="51">
        <v>0.6</v>
      </c>
      <c r="AH24" s="51">
        <f t="shared" si="10"/>
        <v>72.536036493196562</v>
      </c>
      <c r="AI24" s="51">
        <f t="shared" si="11"/>
        <v>0.67172699209212194</v>
      </c>
      <c r="AJ24" s="51">
        <f t="shared" si="41"/>
        <v>56.932422143749491</v>
      </c>
      <c r="AK24" s="51">
        <f t="shared" si="42"/>
        <v>88.139650842643633</v>
      </c>
      <c r="AL24" s="51">
        <f t="shared" si="43"/>
        <v>7.9610277293097296</v>
      </c>
      <c r="AN24" s="9">
        <f t="shared" si="12"/>
        <v>13</v>
      </c>
      <c r="AO24" s="10">
        <f t="shared" si="13"/>
        <v>0.625</v>
      </c>
      <c r="AP24" s="11">
        <f t="shared" si="44"/>
        <v>0.75501486250840832</v>
      </c>
      <c r="AQ24" s="32">
        <f>'Valeurs Maximales Annuelles'!L19</f>
        <v>67.232443615794196</v>
      </c>
      <c r="AR24" s="12">
        <f t="shared" si="45"/>
        <v>82.27208576094462</v>
      </c>
      <c r="AS24" s="50">
        <f t="shared" si="46"/>
        <v>2.5</v>
      </c>
      <c r="AT24" s="51">
        <v>0.6</v>
      </c>
      <c r="AU24" s="51">
        <f t="shared" si="14"/>
        <v>79.445430856221265</v>
      </c>
      <c r="AV24" s="51">
        <f t="shared" si="15"/>
        <v>0.67172699209212194</v>
      </c>
      <c r="AW24" s="51">
        <f t="shared" si="47"/>
        <v>59.01230032013148</v>
      </c>
      <c r="AX24" s="51">
        <f t="shared" si="48"/>
        <v>99.878561392311042</v>
      </c>
      <c r="AY24" s="51">
        <f t="shared" si="49"/>
        <v>10.425066600045808</v>
      </c>
      <c r="BA24" s="9">
        <f t="shared" si="16"/>
        <v>13</v>
      </c>
      <c r="BB24" s="10">
        <f t="shared" si="17"/>
        <v>0.625</v>
      </c>
      <c r="BC24" s="11">
        <f t="shared" si="50"/>
        <v>0.75501486250840832</v>
      </c>
      <c r="BD24" s="32">
        <f>'Valeurs Maximales Annuelles'!N19</f>
        <v>69.970812387764497</v>
      </c>
      <c r="BE24" s="12">
        <f t="shared" si="18"/>
        <v>83.002752817661744</v>
      </c>
      <c r="BF24" s="50">
        <f t="shared" si="51"/>
        <v>2.5</v>
      </c>
      <c r="BG24" s="51">
        <v>0.6</v>
      </c>
      <c r="BH24" s="51">
        <f t="shared" si="19"/>
        <v>80.335418916480478</v>
      </c>
      <c r="BI24" s="51">
        <f t="shared" si="20"/>
        <v>0.67172699209212194</v>
      </c>
      <c r="BJ24" s="51">
        <f t="shared" si="52"/>
        <v>61.053977204193217</v>
      </c>
      <c r="BK24" s="51">
        <f t="shared" si="53"/>
        <v>99.616860628767739</v>
      </c>
      <c r="BL24" s="51">
        <f t="shared" si="54"/>
        <v>9.8374702613710525</v>
      </c>
      <c r="BN24" s="9">
        <f t="shared" si="21"/>
        <v>13</v>
      </c>
      <c r="BO24" s="10">
        <f t="shared" si="22"/>
        <v>0.625</v>
      </c>
      <c r="BP24" s="11">
        <f t="shared" si="55"/>
        <v>0.75501486250840832</v>
      </c>
      <c r="BQ24" s="32">
        <f>'Valeurs Maximales Annuelles'!P19</f>
        <v>67.8871966525912</v>
      </c>
      <c r="BR24" s="12">
        <f t="shared" si="23"/>
        <v>82.175542138862397</v>
      </c>
      <c r="BS24" s="50">
        <f t="shared" si="56"/>
        <v>2.5</v>
      </c>
      <c r="BT24" s="51">
        <v>0.6</v>
      </c>
      <c r="BU24" s="51">
        <f t="shared" si="24"/>
        <v>79.375914277570985</v>
      </c>
      <c r="BV24" s="51">
        <f t="shared" si="25"/>
        <v>0.67172699209212194</v>
      </c>
      <c r="BW24" s="51">
        <f t="shared" si="57"/>
        <v>59.138154993036181</v>
      </c>
      <c r="BX24" s="51">
        <f t="shared" si="58"/>
        <v>99.613673562105788</v>
      </c>
      <c r="BY24" s="51">
        <f t="shared" si="59"/>
        <v>10.325387390068775</v>
      </c>
    </row>
    <row r="25" spans="1:77" x14ac:dyDescent="0.3">
      <c r="A25" s="9">
        <f t="shared" si="0"/>
        <v>14</v>
      </c>
      <c r="B25" s="10">
        <f t="shared" si="1"/>
        <v>0.67500000000000004</v>
      </c>
      <c r="C25" s="11">
        <f t="shared" si="26"/>
        <v>0.9338373062930091</v>
      </c>
      <c r="D25">
        <f>'Valeurs Maximales Annuelles'!F20</f>
        <v>71.921180002391296</v>
      </c>
      <c r="E25" s="12">
        <f t="shared" si="27"/>
        <v>76.122187746134742</v>
      </c>
      <c r="F25" s="50">
        <f t="shared" si="28"/>
        <v>2.8571428571428572</v>
      </c>
      <c r="G25" s="51">
        <v>0.65</v>
      </c>
      <c r="H25" s="51">
        <f t="shared" si="2"/>
        <v>73.884721861093084</v>
      </c>
      <c r="I25" s="51">
        <f t="shared" si="3"/>
        <v>0.84215099072473287</v>
      </c>
      <c r="J25" s="51">
        <f t="shared" si="29"/>
        <v>57.948172565104954</v>
      </c>
      <c r="K25" s="51">
        <f t="shared" si="30"/>
        <v>89.821271157081213</v>
      </c>
      <c r="L25" s="51">
        <f t="shared" si="31"/>
        <v>8.130892497953127</v>
      </c>
      <c r="N25" s="9">
        <f t="shared" si="4"/>
        <v>14</v>
      </c>
      <c r="O25" s="10">
        <f t="shared" si="5"/>
        <v>0.67500000000000004</v>
      </c>
      <c r="P25" s="11">
        <f t="shared" si="32"/>
        <v>0.9338373062930091</v>
      </c>
      <c r="Q25" s="32">
        <f>'Valeurs Maximales Annuelles'!H20</f>
        <v>71.707472652196898</v>
      </c>
      <c r="R25" s="12">
        <f t="shared" si="33"/>
        <v>85.914334963770898</v>
      </c>
      <c r="S25" s="50">
        <f t="shared" si="34"/>
        <v>2.8571428571428572</v>
      </c>
      <c r="T25" s="51">
        <v>0.65</v>
      </c>
      <c r="U25" s="51">
        <f t="shared" si="6"/>
        <v>82.922450168210489</v>
      </c>
      <c r="V25" s="51">
        <f t="shared" si="7"/>
        <v>0.84215099072473287</v>
      </c>
      <c r="W25" s="51">
        <f t="shared" si="35"/>
        <v>61.612485242654429</v>
      </c>
      <c r="X25" s="51">
        <f t="shared" si="36"/>
        <v>104.23241509376655</v>
      </c>
      <c r="Y25" s="51">
        <f t="shared" si="37"/>
        <v>10.872431084467379</v>
      </c>
      <c r="AA25" s="9">
        <f t="shared" si="8"/>
        <v>14</v>
      </c>
      <c r="AB25" s="10">
        <f t="shared" si="9"/>
        <v>0.67500000000000004</v>
      </c>
      <c r="AC25" s="11">
        <f t="shared" si="38"/>
        <v>0.9338373062930091</v>
      </c>
      <c r="AD25">
        <f>'Valeurs Maximales Annuelles'!J20</f>
        <v>68.347725234925704</v>
      </c>
      <c r="AE25" s="12">
        <f t="shared" si="39"/>
        <v>79.32909636243302</v>
      </c>
      <c r="AF25" s="50">
        <f t="shared" si="40"/>
        <v>2.8571428571428572</v>
      </c>
      <c r="AG25" s="51">
        <v>0.65</v>
      </c>
      <c r="AH25" s="51">
        <f t="shared" si="10"/>
        <v>76.952880711614881</v>
      </c>
      <c r="AI25" s="51">
        <f t="shared" si="11"/>
        <v>0.84215099072473287</v>
      </c>
      <c r="AJ25" s="51">
        <f t="shared" si="41"/>
        <v>60.028073897652341</v>
      </c>
      <c r="AK25" s="51">
        <f t="shared" si="42"/>
        <v>93.877687525577414</v>
      </c>
      <c r="AL25" s="51">
        <f t="shared" si="43"/>
        <v>8.6351055173278262</v>
      </c>
      <c r="AN25" s="9">
        <f t="shared" si="12"/>
        <v>14</v>
      </c>
      <c r="AO25" s="10">
        <f t="shared" si="13"/>
        <v>0.67500000000000004</v>
      </c>
      <c r="AP25" s="11">
        <f t="shared" si="44"/>
        <v>0.9338373062930091</v>
      </c>
      <c r="AQ25">
        <f>'Valeurs Maximales Annuelles'!L20</f>
        <v>68.347725234925704</v>
      </c>
      <c r="AR25" s="12">
        <f t="shared" si="45"/>
        <v>88.341028756748727</v>
      </c>
      <c r="AS25" s="50">
        <f t="shared" si="46"/>
        <v>2.8571428571428572</v>
      </c>
      <c r="AT25" s="51">
        <v>0.65</v>
      </c>
      <c r="AU25" s="51">
        <f t="shared" si="14"/>
        <v>85.229344278544019</v>
      </c>
      <c r="AV25" s="51">
        <f t="shared" si="15"/>
        <v>0.84215099072473287</v>
      </c>
      <c r="AW25" s="51">
        <f t="shared" si="47"/>
        <v>63.066095483558698</v>
      </c>
      <c r="AX25" s="51">
        <f t="shared" si="48"/>
        <v>107.39259307352934</v>
      </c>
      <c r="AY25" s="51">
        <f t="shared" si="49"/>
        <v>11.307779997441489</v>
      </c>
      <c r="BA25" s="9">
        <f t="shared" si="16"/>
        <v>14</v>
      </c>
      <c r="BB25" s="10">
        <f t="shared" si="17"/>
        <v>0.67500000000000004</v>
      </c>
      <c r="BC25" s="11">
        <f t="shared" si="50"/>
        <v>0.9338373062930091</v>
      </c>
      <c r="BD25" s="32">
        <f>'Valeurs Maximales Annuelles'!N20</f>
        <v>73.585398495197296</v>
      </c>
      <c r="BE25" s="12">
        <f t="shared" si="18"/>
        <v>88.729627141794751</v>
      </c>
      <c r="BF25" s="50">
        <f t="shared" si="51"/>
        <v>2.8571428571428572</v>
      </c>
      <c r="BG25" s="51">
        <v>0.65</v>
      </c>
      <c r="BH25" s="51">
        <f t="shared" si="19"/>
        <v>85.793329016181431</v>
      </c>
      <c r="BI25" s="51">
        <f t="shared" si="20"/>
        <v>0.84215099072473287</v>
      </c>
      <c r="BJ25" s="51">
        <f t="shared" si="52"/>
        <v>64.879285079514602</v>
      </c>
      <c r="BK25" s="51">
        <f t="shared" si="53"/>
        <v>106.70737295284826</v>
      </c>
      <c r="BL25" s="51">
        <f t="shared" si="54"/>
        <v>10.670430579932056</v>
      </c>
      <c r="BN25" s="9">
        <f t="shared" si="21"/>
        <v>14</v>
      </c>
      <c r="BO25" s="10">
        <f t="shared" si="22"/>
        <v>0.67500000000000004</v>
      </c>
      <c r="BP25" s="11">
        <f t="shared" si="55"/>
        <v>0.9338373062930091</v>
      </c>
      <c r="BQ25" s="32">
        <f>'Valeurs Maximales Annuelles'!P20</f>
        <v>71.749006323516397</v>
      </c>
      <c r="BR25" s="12">
        <f t="shared" si="23"/>
        <v>88.186456973655538</v>
      </c>
      <c r="BS25" s="50">
        <f t="shared" si="56"/>
        <v>2.8571428571428572</v>
      </c>
      <c r="BT25" s="51">
        <v>0.65</v>
      </c>
      <c r="BU25" s="51">
        <f t="shared" si="24"/>
        <v>85.104524847391104</v>
      </c>
      <c r="BV25" s="51">
        <f t="shared" si="25"/>
        <v>0.84215099072473287</v>
      </c>
      <c r="BW25" s="51">
        <f t="shared" si="57"/>
        <v>63.153189819018934</v>
      </c>
      <c r="BX25" s="51">
        <f t="shared" si="58"/>
        <v>107.05585987576328</v>
      </c>
      <c r="BY25" s="51">
        <f t="shared" si="59"/>
        <v>11.199660728761314</v>
      </c>
    </row>
    <row r="26" spans="1:77" x14ac:dyDescent="0.3">
      <c r="A26" s="9">
        <f t="shared" si="0"/>
        <v>15</v>
      </c>
      <c r="B26" s="10">
        <f t="shared" si="1"/>
        <v>0.72499999999999998</v>
      </c>
      <c r="C26" s="11">
        <f t="shared" si="26"/>
        <v>1.1344976629754648</v>
      </c>
      <c r="D26">
        <f>'Valeurs Maximales Annuelles'!F21</f>
        <v>73.686024583876105</v>
      </c>
      <c r="E26" s="12">
        <f t="shared" si="27"/>
        <v>81.01900031597728</v>
      </c>
      <c r="F26" s="50">
        <f t="shared" si="28"/>
        <v>3.333333333333333</v>
      </c>
      <c r="G26" s="51">
        <v>0.7</v>
      </c>
      <c r="H26" s="51">
        <f t="shared" si="2"/>
        <v>78.491598684807286</v>
      </c>
      <c r="I26" s="51">
        <f t="shared" si="3"/>
        <v>1.0309304331587228</v>
      </c>
      <c r="J26" s="51">
        <f t="shared" si="29"/>
        <v>61.02268899953404</v>
      </c>
      <c r="K26" s="51">
        <f t="shared" si="30"/>
        <v>95.960508370080532</v>
      </c>
      <c r="L26" s="51">
        <f t="shared" si="31"/>
        <v>8.9127090230985928</v>
      </c>
      <c r="N26" s="9">
        <f t="shared" si="4"/>
        <v>15</v>
      </c>
      <c r="O26" s="10">
        <f t="shared" si="5"/>
        <v>0.72499999999999998</v>
      </c>
      <c r="P26" s="11">
        <f t="shared" si="32"/>
        <v>1.1344976629754648</v>
      </c>
      <c r="Q26" s="32">
        <f>'Valeurs Maximales Annuelles'!H21</f>
        <v>81.782528646290302</v>
      </c>
      <c r="R26" s="12">
        <f t="shared" si="33"/>
        <v>92.462233267993895</v>
      </c>
      <c r="S26" s="50">
        <f t="shared" si="34"/>
        <v>3.333333333333333</v>
      </c>
      <c r="T26" s="51">
        <v>0.7</v>
      </c>
      <c r="U26" s="51">
        <f t="shared" si="6"/>
        <v>89.082653466073751</v>
      </c>
      <c r="V26" s="51">
        <f t="shared" si="7"/>
        <v>1.0309304331587228</v>
      </c>
      <c r="W26" s="51">
        <f t="shared" si="35"/>
        <v>65.723653611908787</v>
      </c>
      <c r="X26" s="51">
        <f t="shared" si="36"/>
        <v>112.44165332023871</v>
      </c>
      <c r="Y26" s="51">
        <f t="shared" si="37"/>
        <v>11.917857068451511</v>
      </c>
      <c r="AA26" s="9">
        <f t="shared" si="8"/>
        <v>15</v>
      </c>
      <c r="AB26" s="10">
        <f t="shared" si="9"/>
        <v>0.72499999999999998</v>
      </c>
      <c r="AC26" s="11">
        <f t="shared" si="38"/>
        <v>1.1344976629754648</v>
      </c>
      <c r="AD26">
        <f>'Valeurs Maximales Annuelles'!J21</f>
        <v>75.779616124927998</v>
      </c>
      <c r="AE26" s="12">
        <f t="shared" si="39"/>
        <v>84.529570141887405</v>
      </c>
      <c r="AF26" s="50">
        <f t="shared" si="40"/>
        <v>3.333333333333333</v>
      </c>
      <c r="AG26" s="51">
        <v>0.7</v>
      </c>
      <c r="AH26" s="51">
        <f t="shared" si="10"/>
        <v>81.84543924539436</v>
      </c>
      <c r="AI26" s="51">
        <f t="shared" si="11"/>
        <v>1.0309304331587228</v>
      </c>
      <c r="AJ26" s="51">
        <f t="shared" si="41"/>
        <v>63.29324728824102</v>
      </c>
      <c r="AK26" s="51">
        <f t="shared" si="42"/>
        <v>100.3976312025477</v>
      </c>
      <c r="AL26" s="51">
        <f t="shared" si="43"/>
        <v>9.4654040597721139</v>
      </c>
      <c r="AN26" s="9">
        <f t="shared" si="12"/>
        <v>15</v>
      </c>
      <c r="AO26" s="10">
        <f t="shared" si="13"/>
        <v>0.72499999999999998</v>
      </c>
      <c r="AP26" s="11">
        <f t="shared" si="44"/>
        <v>1.1344976629754648</v>
      </c>
      <c r="AQ26">
        <f>'Valeurs Maximales Annuelles'!L21</f>
        <v>79.541657678782897</v>
      </c>
      <c r="AR26" s="12">
        <f t="shared" si="45"/>
        <v>95.151115010185833</v>
      </c>
      <c r="AS26" s="50">
        <f t="shared" si="46"/>
        <v>3.333333333333333</v>
      </c>
      <c r="AT26" s="51">
        <v>0.7</v>
      </c>
      <c r="AU26" s="51">
        <f t="shared" si="14"/>
        <v>91.636211619489217</v>
      </c>
      <c r="AV26" s="51">
        <f t="shared" si="15"/>
        <v>1.0309304331587228</v>
      </c>
      <c r="AW26" s="51">
        <f t="shared" si="47"/>
        <v>67.341881376410484</v>
      </c>
      <c r="AX26" s="51">
        <f t="shared" si="48"/>
        <v>115.93054186256795</v>
      </c>
      <c r="AY26" s="51">
        <f t="shared" si="49"/>
        <v>12.395066450550376</v>
      </c>
      <c r="BA26" s="9">
        <f t="shared" si="16"/>
        <v>15</v>
      </c>
      <c r="BB26" s="10">
        <f t="shared" si="17"/>
        <v>0.72499999999999998</v>
      </c>
      <c r="BC26" s="11">
        <f t="shared" si="50"/>
        <v>1.1344976629754648</v>
      </c>
      <c r="BD26" s="32">
        <f>'Valeurs Maximales Annuelles'!N21</f>
        <v>109.63914982974499</v>
      </c>
      <c r="BE26" s="12">
        <f t="shared" si="18"/>
        <v>95.155871075360139</v>
      </c>
      <c r="BF26" s="50">
        <f t="shared" si="51"/>
        <v>3.333333333333333</v>
      </c>
      <c r="BG26" s="51">
        <v>0.7</v>
      </c>
      <c r="BH26" s="51">
        <f t="shared" si="19"/>
        <v>91.839080986228396</v>
      </c>
      <c r="BI26" s="51">
        <f t="shared" si="20"/>
        <v>1.0309304331587228</v>
      </c>
      <c r="BJ26" s="51">
        <f t="shared" si="52"/>
        <v>68.914071443827552</v>
      </c>
      <c r="BK26" s="51">
        <f t="shared" si="53"/>
        <v>114.76409052862924</v>
      </c>
      <c r="BL26" s="51">
        <f t="shared" si="54"/>
        <v>11.69643344000043</v>
      </c>
      <c r="BN26" s="9">
        <f t="shared" si="21"/>
        <v>15</v>
      </c>
      <c r="BO26" s="10">
        <f t="shared" si="22"/>
        <v>0.72499999999999998</v>
      </c>
      <c r="BP26" s="11">
        <f t="shared" si="55"/>
        <v>1.1344976629754648</v>
      </c>
      <c r="BQ26" s="32">
        <f>'Valeurs Maximales Annuelles'!P21</f>
        <v>74.596848450601101</v>
      </c>
      <c r="BR26" s="12">
        <f t="shared" si="23"/>
        <v>94.931428629396464</v>
      </c>
      <c r="BS26" s="50">
        <f t="shared" si="56"/>
        <v>3.333333333333333</v>
      </c>
      <c r="BT26" s="51">
        <v>0.7</v>
      </c>
      <c r="BU26" s="51">
        <f t="shared" si="24"/>
        <v>91.45013296578415</v>
      </c>
      <c r="BV26" s="51">
        <f t="shared" si="25"/>
        <v>1.0309304331587228</v>
      </c>
      <c r="BW26" s="51">
        <f t="shared" si="57"/>
        <v>67.388092811436422</v>
      </c>
      <c r="BX26" s="51">
        <f t="shared" si="58"/>
        <v>115.51217312013188</v>
      </c>
      <c r="BY26" s="51">
        <f t="shared" si="59"/>
        <v>12.276551099157007</v>
      </c>
    </row>
    <row r="27" spans="1:77" x14ac:dyDescent="0.3">
      <c r="A27" s="9">
        <f t="shared" si="0"/>
        <v>16</v>
      </c>
      <c r="B27" s="10">
        <f t="shared" si="1"/>
        <v>0.77500000000000002</v>
      </c>
      <c r="C27" s="11">
        <f t="shared" si="26"/>
        <v>1.3669143735986529</v>
      </c>
      <c r="D27">
        <f>'Valeurs Maximales Annuelles'!F22</f>
        <v>79.012511484324904</v>
      </c>
      <c r="E27" s="12">
        <f t="shared" si="27"/>
        <v>86.690778682354477</v>
      </c>
      <c r="F27" s="50">
        <f t="shared" si="28"/>
        <v>4</v>
      </c>
      <c r="G27" s="51">
        <v>0.75</v>
      </c>
      <c r="H27" s="51">
        <f t="shared" si="2"/>
        <v>83.737589386542709</v>
      </c>
      <c r="I27" s="51">
        <f t="shared" si="3"/>
        <v>1.2458993237072382</v>
      </c>
      <c r="J27" s="51">
        <f t="shared" si="29"/>
        <v>64.373988903238711</v>
      </c>
      <c r="K27" s="51">
        <f t="shared" si="30"/>
        <v>103.10118986984671</v>
      </c>
      <c r="L27" s="51">
        <f t="shared" si="31"/>
        <v>9.8793880016857099</v>
      </c>
      <c r="N27" s="9">
        <f t="shared" si="4"/>
        <v>16</v>
      </c>
      <c r="O27" s="10">
        <f t="shared" si="5"/>
        <v>0.77500000000000002</v>
      </c>
      <c r="P27" s="11">
        <f t="shared" si="32"/>
        <v>1.3669143735986529</v>
      </c>
      <c r="Q27" s="32">
        <f>'Valeurs Maximales Annuelles'!H22</f>
        <v>84.521324895322294</v>
      </c>
      <c r="R27" s="12">
        <f t="shared" si="33"/>
        <v>100.04639692903514</v>
      </c>
      <c r="S27" s="50">
        <f t="shared" si="34"/>
        <v>4</v>
      </c>
      <c r="T27" s="51">
        <v>0.75</v>
      </c>
      <c r="U27" s="51">
        <f t="shared" si="6"/>
        <v>96.097464249605025</v>
      </c>
      <c r="V27" s="51">
        <f t="shared" si="7"/>
        <v>1.2458993237072382</v>
      </c>
      <c r="W27" s="51">
        <f t="shared" si="35"/>
        <v>70.204930083782443</v>
      </c>
      <c r="X27" s="51">
        <f t="shared" si="36"/>
        <v>121.98999841542761</v>
      </c>
      <c r="Y27" s="51">
        <f t="shared" si="37"/>
        <v>13.210476615215605</v>
      </c>
      <c r="AA27" s="9">
        <f t="shared" si="8"/>
        <v>16</v>
      </c>
      <c r="AB27" s="10">
        <f t="shared" si="9"/>
        <v>0.77500000000000002</v>
      </c>
      <c r="AC27" s="11">
        <f t="shared" si="38"/>
        <v>1.3669143735986529</v>
      </c>
      <c r="AD27">
        <f>'Valeurs Maximales Annuelles'!J22</f>
        <v>87.193965800106497</v>
      </c>
      <c r="AE27" s="12">
        <f t="shared" si="39"/>
        <v>90.553066907696774</v>
      </c>
      <c r="AF27" s="50">
        <f t="shared" si="40"/>
        <v>4</v>
      </c>
      <c r="AG27" s="51">
        <v>0.75</v>
      </c>
      <c r="AH27" s="51">
        <f t="shared" si="10"/>
        <v>87.416744395943311</v>
      </c>
      <c r="AI27" s="51">
        <f t="shared" si="11"/>
        <v>1.2458993237072382</v>
      </c>
      <c r="AJ27" s="51">
        <f t="shared" si="41"/>
        <v>66.852368048475583</v>
      </c>
      <c r="AK27" s="51">
        <f t="shared" si="42"/>
        <v>107.98112074341104</v>
      </c>
      <c r="AL27" s="51">
        <f t="shared" si="43"/>
        <v>10.492028748708023</v>
      </c>
      <c r="AN27" s="9">
        <f t="shared" si="12"/>
        <v>16</v>
      </c>
      <c r="AO27" s="10">
        <f t="shared" si="13"/>
        <v>0.77500000000000002</v>
      </c>
      <c r="AP27" s="11">
        <f t="shared" si="44"/>
        <v>1.3669143735986529</v>
      </c>
      <c r="AQ27" s="32">
        <f>'Valeurs Maximales Annuelles'!L22</f>
        <v>108.046071566641</v>
      </c>
      <c r="AR27" s="12">
        <f t="shared" si="45"/>
        <v>103.03896028392262</v>
      </c>
      <c r="AS27" s="50">
        <f t="shared" si="46"/>
        <v>4</v>
      </c>
      <c r="AT27" s="51">
        <v>0.75</v>
      </c>
      <c r="AU27" s="51">
        <f t="shared" si="14"/>
        <v>98.931906248188483</v>
      </c>
      <c r="AV27" s="51">
        <f t="shared" si="15"/>
        <v>1.2458993237072382</v>
      </c>
      <c r="AW27" s="51">
        <f t="shared" si="47"/>
        <v>72.002595071257531</v>
      </c>
      <c r="AX27" s="51">
        <f t="shared" si="48"/>
        <v>125.86121742511943</v>
      </c>
      <c r="AY27" s="51">
        <f t="shared" si="49"/>
        <v>13.739444478025998</v>
      </c>
      <c r="BA27" s="9">
        <f t="shared" si="16"/>
        <v>16</v>
      </c>
      <c r="BB27" s="10">
        <f t="shared" si="17"/>
        <v>0.77500000000000002</v>
      </c>
      <c r="BC27" s="11">
        <f t="shared" si="50"/>
        <v>1.3669143735986529</v>
      </c>
      <c r="BD27" s="32">
        <f>'Valeurs Maximales Annuelles'!N22</f>
        <v>116.91310454160001</v>
      </c>
      <c r="BE27" s="12">
        <f t="shared" si="18"/>
        <v>102.59912743847448</v>
      </c>
      <c r="BF27" s="50">
        <f t="shared" si="51"/>
        <v>4</v>
      </c>
      <c r="BG27" s="51">
        <v>0.75</v>
      </c>
      <c r="BH27" s="51">
        <f t="shared" si="19"/>
        <v>98.72356256311906</v>
      </c>
      <c r="BI27" s="51">
        <f t="shared" si="20"/>
        <v>1.2458993237072382</v>
      </c>
      <c r="BJ27" s="51">
        <f t="shared" si="52"/>
        <v>73.312089617603164</v>
      </c>
      <c r="BK27" s="51">
        <f t="shared" si="53"/>
        <v>124.13503550863496</v>
      </c>
      <c r="BL27" s="51">
        <f t="shared" si="54"/>
        <v>12.965037217099946</v>
      </c>
      <c r="BN27" s="9">
        <f t="shared" si="21"/>
        <v>16</v>
      </c>
      <c r="BO27" s="10">
        <f t="shared" si="22"/>
        <v>0.77500000000000002</v>
      </c>
      <c r="BP27" s="11">
        <f t="shared" si="55"/>
        <v>1.3669143735986529</v>
      </c>
      <c r="BQ27" s="32">
        <f>'Valeurs Maximales Annuelles'!P22</f>
        <v>88.316309340298204</v>
      </c>
      <c r="BR27" s="12">
        <f t="shared" si="23"/>
        <v>102.74385431921388</v>
      </c>
      <c r="BS27" s="50">
        <f t="shared" si="56"/>
        <v>4</v>
      </c>
      <c r="BT27" s="51">
        <v>0.75</v>
      </c>
      <c r="BU27" s="51">
        <f t="shared" si="24"/>
        <v>98.676069855303211</v>
      </c>
      <c r="BV27" s="51">
        <f t="shared" si="25"/>
        <v>1.2458993237072382</v>
      </c>
      <c r="BW27" s="51">
        <f t="shared" si="57"/>
        <v>72.004243121045306</v>
      </c>
      <c r="BX27" s="51">
        <f t="shared" si="58"/>
        <v>125.34789658956112</v>
      </c>
      <c r="BY27" s="51">
        <f t="shared" si="59"/>
        <v>13.608074864417302</v>
      </c>
    </row>
    <row r="28" spans="1:77" x14ac:dyDescent="0.3">
      <c r="A28" s="9">
        <f t="shared" si="0"/>
        <v>17</v>
      </c>
      <c r="B28" s="10">
        <f t="shared" si="1"/>
        <v>0.82499999999999996</v>
      </c>
      <c r="C28" s="11">
        <f t="shared" si="26"/>
        <v>1.6483248395333732</v>
      </c>
      <c r="D28">
        <f>'Valeurs Maximales Annuelles'!F23</f>
        <v>85.479384474456296</v>
      </c>
      <c r="E28" s="12">
        <f t="shared" si="27"/>
        <v>93.558175559631479</v>
      </c>
      <c r="F28" s="50">
        <f t="shared" si="28"/>
        <v>5.0000000000000009</v>
      </c>
      <c r="G28" s="51">
        <v>0.8</v>
      </c>
      <c r="H28" s="51">
        <f t="shared" si="2"/>
        <v>89.937067612598767</v>
      </c>
      <c r="I28" s="51">
        <f t="shared" si="3"/>
        <v>1.4999399867595158</v>
      </c>
      <c r="J28" s="51">
        <f t="shared" si="29"/>
        <v>68.183906948243077</v>
      </c>
      <c r="K28" s="51">
        <f t="shared" si="30"/>
        <v>111.69022827695446</v>
      </c>
      <c r="L28" s="51">
        <f t="shared" si="31"/>
        <v>11.09855135936515</v>
      </c>
      <c r="N28" s="9">
        <f t="shared" si="4"/>
        <v>17</v>
      </c>
      <c r="O28" s="10">
        <f t="shared" si="5"/>
        <v>0.82499999999999996</v>
      </c>
      <c r="P28" s="11">
        <f t="shared" si="32"/>
        <v>1.6483248395333732</v>
      </c>
      <c r="Q28" s="32">
        <f>'Valeurs Maximales Annuelles'!H23</f>
        <v>130.14036029577301</v>
      </c>
      <c r="R28" s="12">
        <f t="shared" si="33"/>
        <v>109.2293124941686</v>
      </c>
      <c r="S28" s="50">
        <f t="shared" si="34"/>
        <v>5.0000000000000009</v>
      </c>
      <c r="T28" s="51">
        <v>0.8</v>
      </c>
      <c r="U28" s="51">
        <f t="shared" si="6"/>
        <v>104.38725528907808</v>
      </c>
      <c r="V28" s="51">
        <f t="shared" si="7"/>
        <v>1.4999399867595158</v>
      </c>
      <c r="W28" s="51">
        <f t="shared" si="35"/>
        <v>75.299459545610446</v>
      </c>
      <c r="X28" s="51">
        <f t="shared" si="36"/>
        <v>133.47505103254571</v>
      </c>
      <c r="Y28" s="51">
        <f t="shared" si="37"/>
        <v>14.840712114014101</v>
      </c>
      <c r="AA28" s="9">
        <f t="shared" si="8"/>
        <v>17</v>
      </c>
      <c r="AB28" s="10">
        <f t="shared" si="9"/>
        <v>0.82499999999999996</v>
      </c>
      <c r="AC28" s="11">
        <f t="shared" si="38"/>
        <v>1.6483248395333732</v>
      </c>
      <c r="AD28">
        <f>'Valeurs Maximales Annuelles'!J23</f>
        <v>108.501177728176</v>
      </c>
      <c r="AE28" s="12">
        <f t="shared" si="39"/>
        <v>97.846324896236524</v>
      </c>
      <c r="AF28" s="50">
        <f t="shared" si="40"/>
        <v>5.0000000000000009</v>
      </c>
      <c r="AG28" s="51">
        <v>0.8</v>
      </c>
      <c r="AH28" s="51">
        <f t="shared" si="10"/>
        <v>94.000664752515092</v>
      </c>
      <c r="AI28" s="51">
        <f t="shared" si="11"/>
        <v>1.4999399867595158</v>
      </c>
      <c r="AJ28" s="51">
        <f t="shared" si="41"/>
        <v>70.898546784606452</v>
      </c>
      <c r="AK28" s="51">
        <f t="shared" si="42"/>
        <v>117.10278272042373</v>
      </c>
      <c r="AL28" s="51">
        <f t="shared" si="43"/>
        <v>11.78679488158604</v>
      </c>
      <c r="AN28" s="9">
        <f t="shared" si="12"/>
        <v>17</v>
      </c>
      <c r="AO28" s="10">
        <f t="shared" si="13"/>
        <v>0.82499999999999996</v>
      </c>
      <c r="AP28" s="11">
        <f t="shared" si="44"/>
        <v>1.6483248395333732</v>
      </c>
      <c r="AQ28">
        <f>'Valeurs Maximales Annuelles'!L23</f>
        <v>122.455571964383</v>
      </c>
      <c r="AR28" s="12">
        <f t="shared" si="45"/>
        <v>112.58957395430554</v>
      </c>
      <c r="AS28" s="50">
        <f t="shared" si="46"/>
        <v>5.0000000000000009</v>
      </c>
      <c r="AT28" s="51">
        <v>0.8</v>
      </c>
      <c r="AU28" s="51">
        <f t="shared" si="14"/>
        <v>107.55363330912533</v>
      </c>
      <c r="AV28" s="51">
        <f t="shared" si="15"/>
        <v>1.4999399867595158</v>
      </c>
      <c r="AW28" s="51">
        <f t="shared" si="47"/>
        <v>77.301117351811257</v>
      </c>
      <c r="AX28" s="51">
        <f t="shared" si="48"/>
        <v>137.80614926643941</v>
      </c>
      <c r="AY28" s="51">
        <f t="shared" si="49"/>
        <v>15.434957121078613</v>
      </c>
      <c r="BA28" s="9">
        <f t="shared" si="16"/>
        <v>17</v>
      </c>
      <c r="BB28" s="10">
        <f t="shared" si="17"/>
        <v>0.82499999999999996</v>
      </c>
      <c r="BC28" s="11">
        <f t="shared" si="50"/>
        <v>1.6483248395333732</v>
      </c>
      <c r="BD28" s="32">
        <f>'Valeurs Maximales Annuelles'!N23</f>
        <v>124.620018079877</v>
      </c>
      <c r="BE28" s="12">
        <f t="shared" si="18"/>
        <v>111.61143225769001</v>
      </c>
      <c r="BF28" s="50">
        <f t="shared" si="51"/>
        <v>5.0000000000000009</v>
      </c>
      <c r="BG28" s="51">
        <v>0.8</v>
      </c>
      <c r="BH28" s="51">
        <f t="shared" si="19"/>
        <v>106.859336349279</v>
      </c>
      <c r="BI28" s="51">
        <f t="shared" si="20"/>
        <v>1.4999399867595158</v>
      </c>
      <c r="BJ28" s="51">
        <f t="shared" si="52"/>
        <v>78.311967063367405</v>
      </c>
      <c r="BK28" s="51">
        <f t="shared" si="53"/>
        <v>135.4067056351906</v>
      </c>
      <c r="BL28" s="51">
        <f t="shared" si="54"/>
        <v>14.564984329546732</v>
      </c>
      <c r="BN28" s="9">
        <f t="shared" si="21"/>
        <v>17</v>
      </c>
      <c r="BO28" s="10">
        <f t="shared" si="22"/>
        <v>0.82499999999999996</v>
      </c>
      <c r="BP28" s="11">
        <f t="shared" si="55"/>
        <v>1.6483248395333732</v>
      </c>
      <c r="BQ28" s="32">
        <f>'Valeurs Maximales Annuelles'!P23</f>
        <v>128.77851895987999</v>
      </c>
      <c r="BR28" s="12">
        <f t="shared" si="23"/>
        <v>112.20314985591163</v>
      </c>
      <c r="BS28" s="50">
        <f t="shared" si="56"/>
        <v>5.0000000000000009</v>
      </c>
      <c r="BT28" s="51">
        <v>0.8</v>
      </c>
      <c r="BU28" s="51">
        <f t="shared" si="24"/>
        <v>107.21536032614017</v>
      </c>
      <c r="BV28" s="51">
        <f t="shared" si="25"/>
        <v>1.4999399867595158</v>
      </c>
      <c r="BW28" s="51">
        <f t="shared" si="57"/>
        <v>77.252103613503664</v>
      </c>
      <c r="BX28" s="51">
        <f t="shared" si="58"/>
        <v>137.17861703877668</v>
      </c>
      <c r="BY28" s="51">
        <f t="shared" si="59"/>
        <v>15.287375873794137</v>
      </c>
    </row>
    <row r="29" spans="1:77" x14ac:dyDescent="0.3">
      <c r="A29" s="9">
        <f t="shared" si="0"/>
        <v>18</v>
      </c>
      <c r="B29" s="10">
        <f t="shared" si="1"/>
        <v>0.875</v>
      </c>
      <c r="C29" s="11">
        <f t="shared" si="26"/>
        <v>2.0134186780399479</v>
      </c>
      <c r="D29">
        <f>'Valeurs Maximales Annuelles'!F24</f>
        <v>115.31745940446901</v>
      </c>
      <c r="E29" s="12">
        <f t="shared" si="27"/>
        <v>102.46773860002935</v>
      </c>
      <c r="F29" s="50">
        <f t="shared" si="28"/>
        <v>6.6666666666666661</v>
      </c>
      <c r="G29" s="51">
        <v>0.85</v>
      </c>
      <c r="H29" s="51">
        <f t="shared" si="2"/>
        <v>97.673481039148641</v>
      </c>
      <c r="I29" s="51">
        <f t="shared" si="3"/>
        <v>1.8169607947796103</v>
      </c>
      <c r="J29" s="51">
        <f t="shared" si="29"/>
        <v>72.777964942798164</v>
      </c>
      <c r="K29" s="51">
        <f t="shared" si="30"/>
        <v>122.56899713549912</v>
      </c>
      <c r="L29" s="51">
        <f t="shared" si="31"/>
        <v>12.701793926709426</v>
      </c>
      <c r="N29" s="9">
        <f t="shared" si="4"/>
        <v>18</v>
      </c>
      <c r="O29" s="10">
        <f t="shared" si="5"/>
        <v>0.875</v>
      </c>
      <c r="P29" s="11">
        <f t="shared" si="32"/>
        <v>2.0134186780399479</v>
      </c>
      <c r="Q29" s="32">
        <f>'Valeurs Maximales Annuelles'!H24</f>
        <v>130.40715627372299</v>
      </c>
      <c r="R29" s="12">
        <f t="shared" si="33"/>
        <v>121.14296283130307</v>
      </c>
      <c r="S29" s="50">
        <f t="shared" si="34"/>
        <v>6.6666666666666661</v>
      </c>
      <c r="T29" s="51">
        <v>0.85</v>
      </c>
      <c r="U29" s="51">
        <f t="shared" si="6"/>
        <v>114.7321985830998</v>
      </c>
      <c r="V29" s="51">
        <f t="shared" si="7"/>
        <v>1.8169607947796103</v>
      </c>
      <c r="W29" s="51">
        <f t="shared" si="35"/>
        <v>81.442521817854328</v>
      </c>
      <c r="X29" s="51">
        <f t="shared" si="36"/>
        <v>148.02187534834528</v>
      </c>
      <c r="Y29" s="51">
        <f t="shared" si="37"/>
        <v>16.984528961859933</v>
      </c>
      <c r="AA29" s="9">
        <f t="shared" si="8"/>
        <v>18</v>
      </c>
      <c r="AB29" s="10">
        <f t="shared" si="9"/>
        <v>0.875</v>
      </c>
      <c r="AC29" s="11">
        <f t="shared" si="38"/>
        <v>2.0134186780399479</v>
      </c>
      <c r="AD29" s="32">
        <f>'Valeurs Maximales Annuelles'!J24</f>
        <v>130.32176345586799</v>
      </c>
      <c r="AE29" s="12">
        <f t="shared" si="39"/>
        <v>107.30838788458463</v>
      </c>
      <c r="AF29" s="50">
        <f t="shared" si="40"/>
        <v>6.6666666666666661</v>
      </c>
      <c r="AG29" s="51">
        <v>0.85</v>
      </c>
      <c r="AH29" s="51">
        <f t="shared" si="10"/>
        <v>102.2168287567431</v>
      </c>
      <c r="AI29" s="51">
        <f t="shared" si="11"/>
        <v>1.8169607947796103</v>
      </c>
      <c r="AJ29" s="51">
        <f t="shared" si="41"/>
        <v>75.777491567813627</v>
      </c>
      <c r="AK29" s="51">
        <f t="shared" si="42"/>
        <v>128.65616594567257</v>
      </c>
      <c r="AL29" s="51">
        <f t="shared" si="43"/>
        <v>13.489457749453809</v>
      </c>
      <c r="AN29" s="9">
        <f t="shared" si="12"/>
        <v>18</v>
      </c>
      <c r="AO29" s="10">
        <f t="shared" si="13"/>
        <v>0.875</v>
      </c>
      <c r="AP29" s="11">
        <f t="shared" si="44"/>
        <v>2.0134186780399479</v>
      </c>
      <c r="AQ29">
        <f>'Valeurs Maximales Annuelles'!L24</f>
        <v>130.40715627372299</v>
      </c>
      <c r="AR29" s="12">
        <f t="shared" si="45"/>
        <v>124.98026522952742</v>
      </c>
      <c r="AS29" s="50">
        <f t="shared" si="46"/>
        <v>6.6666666666666661</v>
      </c>
      <c r="AT29" s="51">
        <v>0.85</v>
      </c>
      <c r="AU29" s="51">
        <f t="shared" si="14"/>
        <v>118.31280409126285</v>
      </c>
      <c r="AV29" s="51">
        <f t="shared" si="15"/>
        <v>1.8169607947796103</v>
      </c>
      <c r="AW29" s="51">
        <f t="shared" si="47"/>
        <v>83.690157314028653</v>
      </c>
      <c r="AX29" s="51">
        <f t="shared" si="48"/>
        <v>152.93545086849704</v>
      </c>
      <c r="AY29" s="51">
        <f t="shared" si="49"/>
        <v>17.66461570267051</v>
      </c>
      <c r="BA29" s="9">
        <f t="shared" si="16"/>
        <v>18</v>
      </c>
      <c r="BB29" s="10">
        <f t="shared" si="17"/>
        <v>0.875</v>
      </c>
      <c r="BC29" s="11">
        <f t="shared" si="50"/>
        <v>2.0134186780399479</v>
      </c>
      <c r="BD29" s="32">
        <f>'Valeurs Maximales Annuelles'!N24</f>
        <v>130.40715627372299</v>
      </c>
      <c r="BE29" s="12">
        <f t="shared" si="18"/>
        <v>123.30373712385648</v>
      </c>
      <c r="BF29" s="50">
        <f t="shared" si="51"/>
        <v>6.6666666666666661</v>
      </c>
      <c r="BG29" s="51">
        <v>0.85</v>
      </c>
      <c r="BH29" s="51">
        <f t="shared" si="19"/>
        <v>117.01207941240966</v>
      </c>
      <c r="BI29" s="51">
        <f t="shared" si="20"/>
        <v>1.8169607947796103</v>
      </c>
      <c r="BJ29" s="51">
        <f t="shared" si="52"/>
        <v>84.340896473444161</v>
      </c>
      <c r="BK29" s="51">
        <f t="shared" si="53"/>
        <v>149.68326235137516</v>
      </c>
      <c r="BL29" s="51">
        <f t="shared" si="54"/>
        <v>16.668970887227299</v>
      </c>
      <c r="BN29" s="9">
        <f t="shared" si="21"/>
        <v>18</v>
      </c>
      <c r="BO29" s="10">
        <f t="shared" si="22"/>
        <v>0.875</v>
      </c>
      <c r="BP29" s="11">
        <f t="shared" si="55"/>
        <v>2.0134186780399479</v>
      </c>
      <c r="BQ29" s="32">
        <f>'Valeurs Maximales Annuelles'!P24</f>
        <v>130.40715627372299</v>
      </c>
      <c r="BR29" s="12">
        <f t="shared" si="23"/>
        <v>124.47536761295206</v>
      </c>
      <c r="BS29" s="50">
        <f t="shared" si="56"/>
        <v>6.6666666666666661</v>
      </c>
      <c r="BT29" s="51">
        <v>0.85</v>
      </c>
      <c r="BU29" s="51">
        <f t="shared" si="24"/>
        <v>117.87165736322493</v>
      </c>
      <c r="BV29" s="51">
        <f t="shared" si="25"/>
        <v>1.8169607947796103</v>
      </c>
      <c r="BW29" s="51">
        <f t="shared" si="57"/>
        <v>83.58005480954067</v>
      </c>
      <c r="BX29" s="51">
        <f t="shared" si="58"/>
        <v>152.16325991690917</v>
      </c>
      <c r="BY29" s="51">
        <f t="shared" si="59"/>
        <v>17.495715588614416</v>
      </c>
    </row>
    <row r="30" spans="1:77" x14ac:dyDescent="0.3">
      <c r="A30" s="9">
        <f t="shared" si="0"/>
        <v>19</v>
      </c>
      <c r="B30" s="10">
        <f t="shared" si="1"/>
        <v>0.92500000000000004</v>
      </c>
      <c r="C30" s="11">
        <f t="shared" si="26"/>
        <v>2.5515396319662687</v>
      </c>
      <c r="D30">
        <f>'Valeurs Maximales Annuelles'!F25</f>
        <v>130.40715627372299</v>
      </c>
      <c r="E30" s="12">
        <f t="shared" si="27"/>
        <v>115.59976674374519</v>
      </c>
      <c r="F30" s="52">
        <f t="shared" si="28"/>
        <v>10.000000000000002</v>
      </c>
      <c r="G30" s="51">
        <v>0.9</v>
      </c>
      <c r="H30" s="51">
        <f t="shared" si="2"/>
        <v>108.25011207602658</v>
      </c>
      <c r="I30" s="51">
        <f t="shared" si="3"/>
        <v>2.2503673273124454</v>
      </c>
      <c r="J30" s="51">
        <f t="shared" si="29"/>
        <v>78.868724662433436</v>
      </c>
      <c r="K30" s="51">
        <f t="shared" si="30"/>
        <v>137.63149948961973</v>
      </c>
      <c r="L30" s="51">
        <f t="shared" si="31"/>
        <v>14.990503782445487</v>
      </c>
      <c r="N30" s="9">
        <f t="shared" si="4"/>
        <v>19</v>
      </c>
      <c r="O30" s="10">
        <f t="shared" si="5"/>
        <v>0.92500000000000004</v>
      </c>
      <c r="P30" s="11">
        <f t="shared" si="32"/>
        <v>2.5515396319662687</v>
      </c>
      <c r="Q30" s="32">
        <f>'Valeurs Maximales Annuelles'!H25</f>
        <v>158.386771157384</v>
      </c>
      <c r="R30" s="12">
        <f t="shared" si="33"/>
        <v>138.70279049201551</v>
      </c>
      <c r="S30" s="52">
        <f t="shared" si="34"/>
        <v>10.000000000000002</v>
      </c>
      <c r="T30" s="51">
        <v>0.9</v>
      </c>
      <c r="U30" s="51">
        <f t="shared" si="6"/>
        <v>128.87501157481537</v>
      </c>
      <c r="V30" s="51">
        <f t="shared" si="7"/>
        <v>2.2503673273124454</v>
      </c>
      <c r="W30" s="51">
        <f t="shared" si="35"/>
        <v>89.586937122872172</v>
      </c>
      <c r="X30" s="51">
        <f t="shared" si="36"/>
        <v>168.16308602675858</v>
      </c>
      <c r="Y30" s="51">
        <f t="shared" si="37"/>
        <v>20.044935944868978</v>
      </c>
      <c r="AA30" s="9">
        <f t="shared" si="8"/>
        <v>19</v>
      </c>
      <c r="AB30" s="10">
        <f t="shared" si="9"/>
        <v>0.92500000000000004</v>
      </c>
      <c r="AC30" s="11">
        <f t="shared" si="38"/>
        <v>2.5515396319662687</v>
      </c>
      <c r="AD30" s="32">
        <f>'Valeurs Maximales Annuelles'!J25</f>
        <v>130.40715627372299</v>
      </c>
      <c r="AE30" s="12">
        <f t="shared" si="39"/>
        <v>121.25475954133098</v>
      </c>
      <c r="AF30" s="52">
        <f t="shared" si="40"/>
        <v>10.000000000000002</v>
      </c>
      <c r="AG30" s="51">
        <v>0.9</v>
      </c>
      <c r="AH30" s="51">
        <f t="shared" si="10"/>
        <v>113.4493379854996</v>
      </c>
      <c r="AI30" s="51">
        <f t="shared" si="11"/>
        <v>2.2503673273124454</v>
      </c>
      <c r="AJ30" s="51">
        <f t="shared" si="41"/>
        <v>82.245951564422938</v>
      </c>
      <c r="AK30" s="51">
        <f t="shared" si="42"/>
        <v>144.65272440657625</v>
      </c>
      <c r="AL30" s="51">
        <f t="shared" si="43"/>
        <v>15.920095112794209</v>
      </c>
      <c r="AN30" s="9">
        <f t="shared" si="12"/>
        <v>19</v>
      </c>
      <c r="AO30" s="10">
        <f t="shared" si="13"/>
        <v>0.92500000000000004</v>
      </c>
      <c r="AP30" s="11">
        <f t="shared" si="44"/>
        <v>2.5515396319662687</v>
      </c>
      <c r="AQ30">
        <f>'Valeurs Maximales Annuelles'!L25</f>
        <v>174.135995730758</v>
      </c>
      <c r="AR30" s="12">
        <f t="shared" si="45"/>
        <v>143.24321547843681</v>
      </c>
      <c r="AS30" s="52">
        <f t="shared" si="46"/>
        <v>10.000000000000002</v>
      </c>
      <c r="AT30" s="51">
        <v>0.9</v>
      </c>
      <c r="AU30" s="51">
        <f t="shared" si="14"/>
        <v>133.02191713257227</v>
      </c>
      <c r="AV30" s="51">
        <f t="shared" si="15"/>
        <v>2.2503673273124454</v>
      </c>
      <c r="AW30" s="51">
        <f t="shared" si="47"/>
        <v>92.160687571838878</v>
      </c>
      <c r="AX30" s="51">
        <f t="shared" si="48"/>
        <v>173.88314669330566</v>
      </c>
      <c r="AY30" s="51">
        <f t="shared" si="49"/>
        <v>20.847566102415001</v>
      </c>
      <c r="BA30" s="9">
        <f t="shared" si="16"/>
        <v>19</v>
      </c>
      <c r="BB30" s="10">
        <f t="shared" si="17"/>
        <v>0.92500000000000004</v>
      </c>
      <c r="BC30" s="11">
        <f t="shared" si="50"/>
        <v>2.5515396319662687</v>
      </c>
      <c r="BD30" s="32">
        <f>'Valeurs Maximales Annuelles'!N25</f>
        <v>138.47743034362799</v>
      </c>
      <c r="BE30" s="12">
        <f t="shared" si="18"/>
        <v>140.53731815035621</v>
      </c>
      <c r="BF30" s="52">
        <f t="shared" si="51"/>
        <v>10.000000000000002</v>
      </c>
      <c r="BG30" s="51">
        <v>0.9</v>
      </c>
      <c r="BH30" s="51">
        <f t="shared" si="19"/>
        <v>130.89213099063082</v>
      </c>
      <c r="BI30" s="51">
        <f t="shared" si="20"/>
        <v>2.2503673273124454</v>
      </c>
      <c r="BJ30" s="51">
        <f t="shared" si="52"/>
        <v>92.333995482412149</v>
      </c>
      <c r="BK30" s="51">
        <f t="shared" si="53"/>
        <v>169.45026649884949</v>
      </c>
      <c r="BL30" s="51">
        <f t="shared" si="54"/>
        <v>19.672518116438091</v>
      </c>
      <c r="BN30" s="9">
        <f t="shared" si="21"/>
        <v>19</v>
      </c>
      <c r="BO30" s="10">
        <f t="shared" si="22"/>
        <v>0.92500000000000004</v>
      </c>
      <c r="BP30" s="11">
        <f t="shared" si="55"/>
        <v>2.5515396319662687</v>
      </c>
      <c r="BQ30" s="32">
        <f>'Valeurs Maximales Annuelles'!P25</f>
        <v>172.71019175648701</v>
      </c>
      <c r="BR30" s="12">
        <f t="shared" si="23"/>
        <v>142.56369677573304</v>
      </c>
      <c r="BS30" s="52">
        <f t="shared" si="56"/>
        <v>10.000000000000002</v>
      </c>
      <c r="BT30" s="51">
        <v>0.9</v>
      </c>
      <c r="BU30" s="51">
        <f t="shared" si="24"/>
        <v>132.44012931094034</v>
      </c>
      <c r="BV30" s="51">
        <f t="shared" si="25"/>
        <v>2.2503673273124454</v>
      </c>
      <c r="BW30" s="51">
        <f t="shared" si="57"/>
        <v>91.969594144551252</v>
      </c>
      <c r="BX30" s="51">
        <f t="shared" si="58"/>
        <v>172.91066447732942</v>
      </c>
      <c r="BY30" s="51">
        <f t="shared" si="59"/>
        <v>20.648232227749535</v>
      </c>
    </row>
    <row r="31" spans="1:77" x14ac:dyDescent="0.3">
      <c r="A31" s="9">
        <f t="shared" si="0"/>
        <v>20</v>
      </c>
      <c r="B31" s="10">
        <f t="shared" si="1"/>
        <v>0.97499999999999998</v>
      </c>
      <c r="C31" s="11">
        <f t="shared" si="26"/>
        <v>3.6762472579541758</v>
      </c>
      <c r="D31">
        <f>'Valeurs Maximales Annuelles'!F26</f>
        <v>145.24440430104701</v>
      </c>
      <c r="E31" s="12">
        <f t="shared" si="27"/>
        <v>143.04655559327824</v>
      </c>
      <c r="F31" s="52">
        <f t="shared" si="28"/>
        <v>19.999999999999982</v>
      </c>
      <c r="G31" s="51">
        <v>0.95</v>
      </c>
      <c r="H31" s="51">
        <f t="shared" si="2"/>
        <v>125.81642399496631</v>
      </c>
      <c r="I31" s="51">
        <f t="shared" si="3"/>
        <v>2.9701952490421637</v>
      </c>
      <c r="J31" s="51">
        <f t="shared" si="29"/>
        <v>88.700399437231624</v>
      </c>
      <c r="K31" s="51">
        <f t="shared" si="30"/>
        <v>162.932448552701</v>
      </c>
      <c r="L31" s="51">
        <f t="shared" si="31"/>
        <v>18.936747223334031</v>
      </c>
      <c r="N31" s="9">
        <f t="shared" si="4"/>
        <v>20</v>
      </c>
      <c r="O31" s="10">
        <f t="shared" si="5"/>
        <v>0.97499999999999998</v>
      </c>
      <c r="P31" s="11">
        <f t="shared" si="32"/>
        <v>3.6762472579541758</v>
      </c>
      <c r="Q31" s="32">
        <f>'Valeurs Maximales Annuelles'!H26</f>
        <v>180.25959156453601</v>
      </c>
      <c r="R31" s="12">
        <f t="shared" si="33"/>
        <v>175.40396694116896</v>
      </c>
      <c r="S31" s="52">
        <f t="shared" si="34"/>
        <v>19.999999999999982</v>
      </c>
      <c r="T31" s="51">
        <v>0.95</v>
      </c>
      <c r="U31" s="51">
        <f t="shared" si="6"/>
        <v>152.36425531958383</v>
      </c>
      <c r="V31" s="51">
        <f t="shared" si="7"/>
        <v>2.9701952490421637</v>
      </c>
      <c r="W31" s="51">
        <f t="shared" si="35"/>
        <v>102.7336127751206</v>
      </c>
      <c r="X31" s="51">
        <f t="shared" si="36"/>
        <v>201.99489786404706</v>
      </c>
      <c r="Y31" s="51">
        <f t="shared" si="37"/>
        <v>25.321756400236342</v>
      </c>
      <c r="AA31" s="9">
        <f t="shared" si="8"/>
        <v>20</v>
      </c>
      <c r="AB31" s="10">
        <f t="shared" si="9"/>
        <v>0.97499999999999998</v>
      </c>
      <c r="AC31" s="11">
        <f t="shared" si="38"/>
        <v>3.6762472579541758</v>
      </c>
      <c r="AD31" s="32">
        <f>'Valeurs Maximales Annuelles'!J26</f>
        <v>148.15862104296701</v>
      </c>
      <c r="AE31" s="12">
        <f t="shared" si="39"/>
        <v>150.40357904511836</v>
      </c>
      <c r="AF31" s="52">
        <f t="shared" si="40"/>
        <v>19.999999999999982</v>
      </c>
      <c r="AG31" s="51">
        <v>0.95</v>
      </c>
      <c r="AH31" s="51">
        <f t="shared" si="10"/>
        <v>132.10497228499668</v>
      </c>
      <c r="AI31" s="51">
        <f t="shared" si="11"/>
        <v>2.9701952490421637</v>
      </c>
      <c r="AJ31" s="51">
        <f t="shared" si="41"/>
        <v>92.687308292949922</v>
      </c>
      <c r="AK31" s="51">
        <f t="shared" si="42"/>
        <v>171.52263627704343</v>
      </c>
      <c r="AL31" s="51">
        <f t="shared" si="43"/>
        <v>20.111053057166707</v>
      </c>
      <c r="AN31" s="9">
        <f t="shared" si="12"/>
        <v>20</v>
      </c>
      <c r="AO31" s="10">
        <f t="shared" si="13"/>
        <v>0.97499999999999998</v>
      </c>
      <c r="AP31" s="11">
        <f t="shared" si="44"/>
        <v>3.6762472579541758</v>
      </c>
      <c r="AQ31" s="32">
        <f>'Valeurs Maximales Annuelles'!L26</f>
        <v>178.83378759026499</v>
      </c>
      <c r="AR31" s="12">
        <f t="shared" si="45"/>
        <v>181.41396364967147</v>
      </c>
      <c r="AS31" s="52">
        <f t="shared" si="46"/>
        <v>19.999999999999982</v>
      </c>
      <c r="AT31" s="51">
        <v>0.95</v>
      </c>
      <c r="AU31" s="51">
        <f t="shared" si="14"/>
        <v>157.45170643255494</v>
      </c>
      <c r="AV31" s="51">
        <f t="shared" si="15"/>
        <v>2.9701952490421637</v>
      </c>
      <c r="AW31" s="51">
        <f t="shared" si="47"/>
        <v>105.83377639791792</v>
      </c>
      <c r="AX31" s="51">
        <f t="shared" si="48"/>
        <v>209.06963646719197</v>
      </c>
      <c r="AY31" s="51">
        <f t="shared" si="49"/>
        <v>26.335678589100521</v>
      </c>
      <c r="BA31" s="9">
        <f t="shared" si="16"/>
        <v>20</v>
      </c>
      <c r="BB31" s="10">
        <f t="shared" si="17"/>
        <v>0.97499999999999998</v>
      </c>
      <c r="BC31" s="11">
        <f t="shared" si="50"/>
        <v>3.6762472579541758</v>
      </c>
      <c r="BD31" s="32">
        <f>'Valeurs Maximales Annuelles'!N26</f>
        <v>180.25959156453601</v>
      </c>
      <c r="BE31" s="12">
        <f t="shared" si="18"/>
        <v>176.55661801623472</v>
      </c>
      <c r="BF31" s="52">
        <f t="shared" si="51"/>
        <v>19.999999999999982</v>
      </c>
      <c r="BG31" s="51">
        <v>0.95</v>
      </c>
      <c r="BH31" s="51">
        <f t="shared" si="19"/>
        <v>153.94496460313593</v>
      </c>
      <c r="BI31" s="51">
        <f t="shared" si="20"/>
        <v>2.9701952490421637</v>
      </c>
      <c r="BJ31" s="51">
        <f t="shared" si="52"/>
        <v>105.23641710406844</v>
      </c>
      <c r="BK31" s="51">
        <f t="shared" si="53"/>
        <v>202.65351210220342</v>
      </c>
      <c r="BL31" s="51">
        <f t="shared" si="54"/>
        <v>24.851299744422196</v>
      </c>
      <c r="BN31" s="9">
        <f t="shared" si="21"/>
        <v>20</v>
      </c>
      <c r="BO31" s="10">
        <f t="shared" si="22"/>
        <v>0.97499999999999998</v>
      </c>
      <c r="BP31" s="11">
        <f t="shared" si="55"/>
        <v>3.6762472579541758</v>
      </c>
      <c r="BQ31" s="32">
        <f>'Valeurs Maximales Annuelles'!P26</f>
        <v>180.25959156453601</v>
      </c>
      <c r="BR31" s="12">
        <f t="shared" si="23"/>
        <v>180.36947557382967</v>
      </c>
      <c r="BS31" s="52">
        <f t="shared" si="56"/>
        <v>19.999999999999982</v>
      </c>
      <c r="BT31" s="51">
        <v>0.95</v>
      </c>
      <c r="BU31" s="51">
        <f t="shared" si="24"/>
        <v>156.63633333125517</v>
      </c>
      <c r="BV31" s="51">
        <f t="shared" si="25"/>
        <v>2.9701952490421637</v>
      </c>
      <c r="BW31" s="51">
        <f t="shared" si="57"/>
        <v>105.51194781617832</v>
      </c>
      <c r="BX31" s="51">
        <f t="shared" si="58"/>
        <v>207.76071884633203</v>
      </c>
      <c r="BY31" s="51">
        <f t="shared" si="59"/>
        <v>26.083870160753495</v>
      </c>
    </row>
    <row r="32" spans="1:77" x14ac:dyDescent="0.3">
      <c r="A32" s="9" t="e">
        <f t="shared" si="0"/>
        <v>#N/A</v>
      </c>
      <c r="B32" s="10"/>
      <c r="C32" s="11"/>
      <c r="E32" s="12">
        <f t="shared" si="27"/>
        <v>53.333300418081251</v>
      </c>
      <c r="F32" s="52">
        <f t="shared" si="28"/>
        <v>29.999400011999782</v>
      </c>
      <c r="G32" s="51">
        <v>0.96666600000000003</v>
      </c>
      <c r="H32" s="51">
        <f t="shared" si="2"/>
        <v>135.92139343016251</v>
      </c>
      <c r="I32" s="51">
        <f t="shared" si="3"/>
        <v>3.3842741508198935</v>
      </c>
      <c r="J32" s="51">
        <f t="shared" si="29"/>
        <v>94.26019486505939</v>
      </c>
      <c r="K32" s="51">
        <f t="shared" si="30"/>
        <v>177.58259199526563</v>
      </c>
      <c r="L32" s="51">
        <f t="shared" si="31"/>
        <v>21.255713553624044</v>
      </c>
      <c r="N32" s="9" t="e">
        <f t="shared" si="4"/>
        <v>#N/A</v>
      </c>
      <c r="O32" s="10"/>
      <c r="P32" s="11"/>
      <c r="Q32" s="32"/>
      <c r="R32" s="12">
        <f t="shared" si="33"/>
        <v>55.441590793518081</v>
      </c>
      <c r="S32" s="52">
        <f t="shared" si="34"/>
        <v>29.999400011999782</v>
      </c>
      <c r="T32" s="51">
        <v>0.96666600000000003</v>
      </c>
      <c r="U32" s="51">
        <f t="shared" si="6"/>
        <v>165.87637392433447</v>
      </c>
      <c r="V32" s="51">
        <f t="shared" si="7"/>
        <v>3.3842741508198935</v>
      </c>
      <c r="W32" s="51">
        <f t="shared" si="35"/>
        <v>110.16803558270433</v>
      </c>
      <c r="X32" s="51">
        <f t="shared" si="36"/>
        <v>221.58471226596461</v>
      </c>
      <c r="Y32" s="51">
        <f t="shared" si="37"/>
        <v>28.422621602872521</v>
      </c>
      <c r="AA32" s="9"/>
      <c r="AB32" s="10"/>
      <c r="AC32" s="11"/>
      <c r="AD32" s="32"/>
      <c r="AE32" s="12">
        <f t="shared" si="39"/>
        <v>55.127024234462382</v>
      </c>
      <c r="AF32" s="52">
        <f t="shared" si="40"/>
        <v>29.999400011999782</v>
      </c>
      <c r="AG32" s="51">
        <v>0.96666600000000003</v>
      </c>
      <c r="AH32" s="51">
        <f t="shared" si="10"/>
        <v>142.83657122622708</v>
      </c>
      <c r="AI32" s="51">
        <f t="shared" si="11"/>
        <v>3.3842741508198935</v>
      </c>
      <c r="AJ32" s="51">
        <f t="shared" si="41"/>
        <v>98.591877832657389</v>
      </c>
      <c r="AK32" s="51">
        <f t="shared" si="42"/>
        <v>187.08126461979677</v>
      </c>
      <c r="AL32" s="51">
        <f t="shared" si="43"/>
        <v>22.573823159984538</v>
      </c>
      <c r="AN32" s="9"/>
      <c r="AO32" s="10"/>
      <c r="AP32" s="11"/>
      <c r="AQ32" s="32"/>
      <c r="AR32" s="12">
        <f t="shared" si="45"/>
        <v>56.648108901150771</v>
      </c>
      <c r="AS32" s="52">
        <f t="shared" si="46"/>
        <v>29.999400011999782</v>
      </c>
      <c r="AT32" s="51">
        <v>0.96666600000000003</v>
      </c>
      <c r="AU32" s="51">
        <f t="shared" si="14"/>
        <v>171.50487111070487</v>
      </c>
      <c r="AV32" s="51">
        <f t="shared" si="15"/>
        <v>3.3842741508198935</v>
      </c>
      <c r="AW32" s="51">
        <f t="shared" si="47"/>
        <v>113.56588496342707</v>
      </c>
      <c r="AX32" s="51">
        <f t="shared" si="48"/>
        <v>229.44385725798267</v>
      </c>
      <c r="AY32" s="51">
        <f t="shared" si="49"/>
        <v>29.560707217998875</v>
      </c>
      <c r="BA32" s="9"/>
      <c r="BB32" s="10"/>
      <c r="BC32" s="11"/>
      <c r="BD32" s="32"/>
      <c r="BE32" s="12">
        <f t="shared" si="18"/>
        <v>58.82304059067468</v>
      </c>
      <c r="BF32" s="52">
        <f t="shared" si="51"/>
        <v>29.999400011999782</v>
      </c>
      <c r="BG32" s="51">
        <v>0.96666600000000003</v>
      </c>
      <c r="BH32" s="51">
        <f t="shared" si="19"/>
        <v>167.20603955865158</v>
      </c>
      <c r="BI32" s="51">
        <f t="shared" si="20"/>
        <v>3.3842741508198935</v>
      </c>
      <c r="BJ32" s="51">
        <f t="shared" si="52"/>
        <v>112.53271467117986</v>
      </c>
      <c r="BK32" s="51">
        <f t="shared" si="53"/>
        <v>221.8793644461233</v>
      </c>
      <c r="BL32" s="51">
        <f t="shared" si="54"/>
        <v>27.894553514016188</v>
      </c>
      <c r="BN32" s="9"/>
      <c r="BO32" s="10"/>
      <c r="BP32" s="11"/>
      <c r="BQ32" s="32"/>
      <c r="BR32" s="12">
        <f t="shared" si="23"/>
        <v>56.796568775721767</v>
      </c>
      <c r="BS32" s="52">
        <f t="shared" si="56"/>
        <v>29.999400011999782</v>
      </c>
      <c r="BT32" s="51">
        <v>0.96666600000000003</v>
      </c>
      <c r="BU32" s="51">
        <f t="shared" si="24"/>
        <v>170.55512876203849</v>
      </c>
      <c r="BV32" s="51">
        <f t="shared" si="25"/>
        <v>3.3842741508198935</v>
      </c>
      <c r="BW32" s="51">
        <f t="shared" si="57"/>
        <v>113.170125873343</v>
      </c>
      <c r="BX32" s="51">
        <f t="shared" si="58"/>
        <v>227.94013165073397</v>
      </c>
      <c r="BY32" s="51">
        <f t="shared" si="59"/>
        <v>29.278062698314027</v>
      </c>
    </row>
    <row r="33" spans="1:77" x14ac:dyDescent="0.3">
      <c r="A33" s="9" t="e">
        <f t="shared" si="0"/>
        <v>#N/A</v>
      </c>
      <c r="B33" s="10"/>
      <c r="C33" s="11"/>
      <c r="E33" s="12">
        <f t="shared" si="27"/>
        <v>53.333300418081251</v>
      </c>
      <c r="F33" s="52">
        <f>1/(1-G33)</f>
        <v>49.999999999999957</v>
      </c>
      <c r="G33" s="51">
        <v>0.98</v>
      </c>
      <c r="H33" s="51">
        <f t="shared" si="2"/>
        <v>148.55421292334302</v>
      </c>
      <c r="I33" s="51">
        <f t="shared" si="3"/>
        <v>3.9019386579358333</v>
      </c>
      <c r="J33" s="51">
        <f t="shared" si="29"/>
        <v>101.14993148798672</v>
      </c>
      <c r="K33" s="51">
        <f t="shared" si="30"/>
        <v>195.95849435869931</v>
      </c>
      <c r="L33" s="51">
        <f t="shared" si="31"/>
        <v>24.185857875181782</v>
      </c>
      <c r="N33" s="9" t="e">
        <f t="shared" si="4"/>
        <v>#N/A</v>
      </c>
      <c r="O33" s="10"/>
      <c r="P33" s="11"/>
      <c r="Q33" s="32"/>
      <c r="R33" s="12">
        <f t="shared" si="33"/>
        <v>55.441590793518081</v>
      </c>
      <c r="S33" s="52">
        <f>1/(1-T33)</f>
        <v>49.999999999999957</v>
      </c>
      <c r="T33" s="51">
        <v>0.98</v>
      </c>
      <c r="U33" s="51">
        <f t="shared" si="6"/>
        <v>182.76867195640139</v>
      </c>
      <c r="V33" s="51">
        <f t="shared" si="7"/>
        <v>3.9019386579358333</v>
      </c>
      <c r="W33" s="51">
        <f t="shared" si="35"/>
        <v>119.38082331071404</v>
      </c>
      <c r="X33" s="51">
        <f t="shared" si="36"/>
        <v>246.15652060208873</v>
      </c>
      <c r="Y33" s="51">
        <f t="shared" si="37"/>
        <v>32.340739104942529</v>
      </c>
      <c r="AA33" s="9"/>
      <c r="AB33" s="10"/>
      <c r="AC33" s="11"/>
      <c r="AD33" s="32"/>
      <c r="AE33" s="12">
        <f t="shared" si="39"/>
        <v>55.127024234462382</v>
      </c>
      <c r="AF33" s="52">
        <f>1/(1-AG33)</f>
        <v>49.999999999999957</v>
      </c>
      <c r="AG33" s="51">
        <v>0.98</v>
      </c>
      <c r="AH33" s="51">
        <f t="shared" si="10"/>
        <v>156.25277729861466</v>
      </c>
      <c r="AI33" s="51">
        <f t="shared" si="11"/>
        <v>3.9019386579358333</v>
      </c>
      <c r="AJ33" s="51">
        <f t="shared" si="41"/>
        <v>105.90886089946737</v>
      </c>
      <c r="AK33" s="51">
        <f t="shared" si="42"/>
        <v>206.59669369776196</v>
      </c>
      <c r="AL33" s="51">
        <f t="shared" si="43"/>
        <v>25.685671632218007</v>
      </c>
      <c r="AN33" s="9"/>
      <c r="AO33" s="10"/>
      <c r="AP33" s="11"/>
      <c r="AR33" s="12">
        <f t="shared" si="45"/>
        <v>56.648108901150771</v>
      </c>
      <c r="AS33" s="52">
        <f>1/(1-AT33)</f>
        <v>49.999999999999957</v>
      </c>
      <c r="AT33" s="51">
        <v>0.98</v>
      </c>
      <c r="AU33" s="51">
        <f t="shared" si="14"/>
        <v>189.07356281487344</v>
      </c>
      <c r="AV33" s="51">
        <f t="shared" si="15"/>
        <v>3.9019386579358333</v>
      </c>
      <c r="AW33" s="51">
        <f t="shared" si="47"/>
        <v>123.14756692417006</v>
      </c>
      <c r="AX33" s="51">
        <f t="shared" si="48"/>
        <v>254.99955870557682</v>
      </c>
      <c r="AY33" s="51">
        <f t="shared" si="49"/>
        <v>33.635712189134374</v>
      </c>
      <c r="BA33" s="9"/>
      <c r="BB33" s="10"/>
      <c r="BC33" s="11"/>
      <c r="BD33" s="32"/>
      <c r="BE33" s="12">
        <f t="shared" si="18"/>
        <v>58.82304059067468</v>
      </c>
      <c r="BF33" s="52">
        <f>1/(1-BG33)</f>
        <v>49.999999999999957</v>
      </c>
      <c r="BG33" s="51">
        <v>0.98</v>
      </c>
      <c r="BH33" s="51">
        <f t="shared" si="19"/>
        <v>183.78449308816619</v>
      </c>
      <c r="BI33" s="51">
        <f t="shared" si="20"/>
        <v>3.9019386579358333</v>
      </c>
      <c r="BJ33" s="51">
        <f t="shared" si="52"/>
        <v>121.5743366539411</v>
      </c>
      <c r="BK33" s="51">
        <f t="shared" si="53"/>
        <v>245.99464952239128</v>
      </c>
      <c r="BL33" s="51">
        <f t="shared" si="54"/>
        <v>31.739875731747492</v>
      </c>
      <c r="BN33" s="9"/>
      <c r="BO33" s="10"/>
      <c r="BP33" s="11"/>
      <c r="BQ33" s="32"/>
      <c r="BR33" s="12">
        <f t="shared" si="23"/>
        <v>56.796568775721767</v>
      </c>
      <c r="BS33" s="52">
        <f>1/(1-BT33)</f>
        <v>49.999999999999957</v>
      </c>
      <c r="BT33" s="51">
        <v>0.98</v>
      </c>
      <c r="BU33" s="51">
        <f t="shared" si="24"/>
        <v>187.9558375288708</v>
      </c>
      <c r="BV33" s="51">
        <f t="shared" si="25"/>
        <v>3.9019386579358333</v>
      </c>
      <c r="BW33" s="51">
        <f t="shared" si="57"/>
        <v>122.66019264113422</v>
      </c>
      <c r="BX33" s="51">
        <f t="shared" si="58"/>
        <v>253.25148241660739</v>
      </c>
      <c r="BY33" s="51">
        <f t="shared" si="59"/>
        <v>33.314104534559483</v>
      </c>
    </row>
    <row r="34" spans="1:77" x14ac:dyDescent="0.3">
      <c r="A34" s="9" t="e">
        <f t="shared" si="0"/>
        <v>#N/A</v>
      </c>
      <c r="B34" s="10"/>
      <c r="C34" s="11"/>
      <c r="E34" s="12">
        <f t="shared" si="27"/>
        <v>53.333300418081251</v>
      </c>
      <c r="F34" s="52">
        <f>1/(1-G34)</f>
        <v>99.999999999999915</v>
      </c>
      <c r="G34" s="51">
        <v>0.99</v>
      </c>
      <c r="H34" s="51">
        <f t="shared" si="2"/>
        <v>165.59298603440072</v>
      </c>
      <c r="I34" s="51">
        <f t="shared" si="3"/>
        <v>4.6001492267765789</v>
      </c>
      <c r="J34" s="51">
        <f t="shared" si="29"/>
        <v>110.37057048376118</v>
      </c>
      <c r="K34" s="51">
        <f t="shared" si="30"/>
        <v>220.81540158504026</v>
      </c>
      <c r="L34" s="51">
        <f t="shared" si="31"/>
        <v>28.174701811550786</v>
      </c>
      <c r="N34" s="9" t="e">
        <f t="shared" si="4"/>
        <v>#N/A</v>
      </c>
      <c r="O34" s="10"/>
      <c r="P34" s="11"/>
      <c r="Q34" s="32"/>
      <c r="R34" s="12">
        <f t="shared" si="33"/>
        <v>55.441590793518081</v>
      </c>
      <c r="S34" s="52">
        <f>1/(1-T34)</f>
        <v>99.999999999999915</v>
      </c>
      <c r="T34" s="51">
        <v>0.99</v>
      </c>
      <c r="U34" s="51">
        <f t="shared" si="6"/>
        <v>205.55250367727169</v>
      </c>
      <c r="V34" s="51">
        <f t="shared" si="7"/>
        <v>4.6001492267765789</v>
      </c>
      <c r="W34" s="51">
        <f t="shared" si="35"/>
        <v>131.7104368262718</v>
      </c>
      <c r="X34" s="51">
        <f t="shared" si="36"/>
        <v>279.39457052827157</v>
      </c>
      <c r="Y34" s="51">
        <f t="shared" si="37"/>
        <v>37.674523903571362</v>
      </c>
      <c r="AA34" s="9"/>
      <c r="AB34" s="10"/>
      <c r="AC34" s="11"/>
      <c r="AD34" s="32"/>
      <c r="AE34" s="12">
        <f t="shared" si="39"/>
        <v>55.127024234462382</v>
      </c>
      <c r="AF34" s="52">
        <f>1/(1-AG34)</f>
        <v>99.999999999999915</v>
      </c>
      <c r="AG34" s="51">
        <v>0.99</v>
      </c>
      <c r="AH34" s="51">
        <f t="shared" si="10"/>
        <v>174.34815904629249</v>
      </c>
      <c r="AI34" s="51">
        <f t="shared" si="11"/>
        <v>4.6001492267765789</v>
      </c>
      <c r="AJ34" s="51">
        <f t="shared" si="41"/>
        <v>115.70129028969043</v>
      </c>
      <c r="AK34" s="51">
        <f t="shared" si="42"/>
        <v>232.99502780289455</v>
      </c>
      <c r="AL34" s="51">
        <f t="shared" si="43"/>
        <v>29.921871814592894</v>
      </c>
      <c r="AN34" s="9"/>
      <c r="AO34" s="10"/>
      <c r="AP34" s="11"/>
      <c r="AR34" s="12">
        <f t="shared" si="45"/>
        <v>56.648108901150771</v>
      </c>
      <c r="AS34" s="52">
        <f>1/(1-AT34)</f>
        <v>99.999999999999915</v>
      </c>
      <c r="AT34" s="51">
        <v>0.99</v>
      </c>
      <c r="AU34" s="51">
        <f t="shared" si="14"/>
        <v>212.76969430531747</v>
      </c>
      <c r="AV34" s="51">
        <f t="shared" si="15"/>
        <v>4.6001492267765789</v>
      </c>
      <c r="AW34" s="51">
        <f t="shared" si="47"/>
        <v>135.9708771851648</v>
      </c>
      <c r="AX34" s="51">
        <f t="shared" si="48"/>
        <v>289.56851142547015</v>
      </c>
      <c r="AY34" s="51">
        <f t="shared" si="49"/>
        <v>39.183069959261573</v>
      </c>
      <c r="BA34" s="9"/>
      <c r="BB34" s="10"/>
      <c r="BC34" s="11"/>
      <c r="BD34" s="32"/>
      <c r="BE34" s="12">
        <f t="shared" si="18"/>
        <v>58.82304059067468</v>
      </c>
      <c r="BF34" s="52">
        <f>1/(1-BG34)</f>
        <v>99.999999999999915</v>
      </c>
      <c r="BG34" s="51">
        <v>0.99</v>
      </c>
      <c r="BH34" s="51">
        <f t="shared" si="19"/>
        <v>206.14502063105567</v>
      </c>
      <c r="BI34" s="51">
        <f t="shared" si="20"/>
        <v>4.6001492267765789</v>
      </c>
      <c r="BJ34" s="51">
        <f t="shared" si="52"/>
        <v>133.67487645714158</v>
      </c>
      <c r="BK34" s="51">
        <f t="shared" si="53"/>
        <v>278.61516480496977</v>
      </c>
      <c r="BL34" s="51">
        <f t="shared" si="54"/>
        <v>36.974563354037805</v>
      </c>
      <c r="BN34" s="9"/>
      <c r="BO34" s="10"/>
      <c r="BP34" s="11"/>
      <c r="BQ34" s="32"/>
      <c r="BR34" s="12">
        <f t="shared" si="23"/>
        <v>56.796568775721767</v>
      </c>
      <c r="BS34" s="52">
        <f>1/(1-BT34)</f>
        <v>99.999999999999915</v>
      </c>
      <c r="BT34" s="51">
        <v>0.99</v>
      </c>
      <c r="BU34" s="51">
        <f t="shared" si="24"/>
        <v>211.42539860426649</v>
      </c>
      <c r="BV34" s="51">
        <f t="shared" si="25"/>
        <v>4.6001492267765789</v>
      </c>
      <c r="BW34" s="51">
        <f t="shared" si="57"/>
        <v>135.36089290018418</v>
      </c>
      <c r="BX34" s="51">
        <f t="shared" si="58"/>
        <v>287.4899043083488</v>
      </c>
      <c r="BY34" s="51">
        <f t="shared" si="59"/>
        <v>38.80842127759302</v>
      </c>
    </row>
    <row r="35" spans="1:77" x14ac:dyDescent="0.3">
      <c r="A35" s="9" t="e">
        <f t="shared" si="0"/>
        <v>#N/A</v>
      </c>
      <c r="B35" s="10"/>
      <c r="C35" s="11"/>
      <c r="E35" s="12">
        <f t="shared" si="27"/>
        <v>53.333300418081251</v>
      </c>
      <c r="F35" s="52">
        <f t="shared" ref="F35:F44" si="60">1/(1-G35)</f>
        <v>199.99999999999983</v>
      </c>
      <c r="G35" s="53">
        <v>0.995</v>
      </c>
      <c r="H35" s="51">
        <f t="shared" si="2"/>
        <v>182.56958752450024</v>
      </c>
      <c r="I35" s="51">
        <f t="shared" si="3"/>
        <v>5.2958121425350253</v>
      </c>
      <c r="J35" s="51">
        <f t="shared" si="29"/>
        <v>119.50322407886803</v>
      </c>
      <c r="K35" s="51">
        <f t="shared" si="30"/>
        <v>245.63595097013246</v>
      </c>
      <c r="L35" s="51">
        <f t="shared" si="31"/>
        <v>32.1767160436899</v>
      </c>
      <c r="N35" s="9" t="e">
        <f t="shared" si="4"/>
        <v>#N/A</v>
      </c>
      <c r="O35" s="10"/>
      <c r="P35" s="11"/>
      <c r="Q35" s="32"/>
      <c r="R35" s="12">
        <f t="shared" si="33"/>
        <v>55.441590793518081</v>
      </c>
      <c r="S35" s="52">
        <f t="shared" ref="S35:S40" si="61">1/(1-T35)</f>
        <v>199.99999999999983</v>
      </c>
      <c r="T35" s="53">
        <v>0.995</v>
      </c>
      <c r="U35" s="51">
        <f t="shared" si="6"/>
        <v>228.25320102335499</v>
      </c>
      <c r="V35" s="51">
        <f t="shared" si="7"/>
        <v>5.2958121425350253</v>
      </c>
      <c r="W35" s="51">
        <f t="shared" si="35"/>
        <v>143.92239841057622</v>
      </c>
      <c r="X35" s="51">
        <f t="shared" si="36"/>
        <v>312.58400363613373</v>
      </c>
      <c r="Y35" s="51">
        <f t="shared" si="37"/>
        <v>43.025919700397331</v>
      </c>
      <c r="AA35" s="9"/>
      <c r="AB35" s="10"/>
      <c r="AC35" s="11"/>
      <c r="AD35" s="32"/>
      <c r="AE35" s="12">
        <f t="shared" si="39"/>
        <v>55.127024234462382</v>
      </c>
      <c r="AF35" s="52">
        <f t="shared" ref="AF35:AF40" si="62">1/(1-AG35)</f>
        <v>199.99999999999983</v>
      </c>
      <c r="AG35" s="53">
        <v>0.995</v>
      </c>
      <c r="AH35" s="51">
        <f t="shared" si="10"/>
        <v>192.37751378558312</v>
      </c>
      <c r="AI35" s="51">
        <f t="shared" si="11"/>
        <v>5.2958121425350253</v>
      </c>
      <c r="AJ35" s="51">
        <f t="shared" si="41"/>
        <v>125.40027812734824</v>
      </c>
      <c r="AK35" s="51">
        <f t="shared" si="42"/>
        <v>259.35474944381798</v>
      </c>
      <c r="AL35" s="51">
        <f t="shared" si="43"/>
        <v>34.17205900930351</v>
      </c>
      <c r="AN35" s="9"/>
      <c r="AO35" s="10"/>
      <c r="AP35" s="11"/>
      <c r="AR35" s="12">
        <f t="shared" si="45"/>
        <v>56.648108901150771</v>
      </c>
      <c r="AS35" s="52">
        <f t="shared" ref="AS35:AS40" si="63">1/(1-AT35)</f>
        <v>199.99999999999983</v>
      </c>
      <c r="AT35" s="53">
        <v>0.995</v>
      </c>
      <c r="AU35" s="51">
        <f t="shared" si="14"/>
        <v>236.37936259236082</v>
      </c>
      <c r="AV35" s="51">
        <f t="shared" si="15"/>
        <v>5.2958121425350253</v>
      </c>
      <c r="AW35" s="51">
        <f t="shared" si="47"/>
        <v>148.67182455008304</v>
      </c>
      <c r="AX35" s="51">
        <f t="shared" si="48"/>
        <v>324.0869006346386</v>
      </c>
      <c r="AY35" s="51">
        <f t="shared" si="49"/>
        <v>44.748743899121322</v>
      </c>
      <c r="BA35" s="9"/>
      <c r="BB35" s="10"/>
      <c r="BC35" s="11"/>
      <c r="BD35" s="32"/>
      <c r="BE35" s="12">
        <f t="shared" si="18"/>
        <v>58.82304059067468</v>
      </c>
      <c r="BF35" s="52">
        <f t="shared" ref="BF35:BF40" si="64">1/(1-BG35)</f>
        <v>199.99999999999983</v>
      </c>
      <c r="BG35" s="53">
        <v>0.995</v>
      </c>
      <c r="BH35" s="51">
        <f t="shared" si="19"/>
        <v>228.42395836499816</v>
      </c>
      <c r="BI35" s="51">
        <f t="shared" si="20"/>
        <v>5.2958121425350253</v>
      </c>
      <c r="BJ35" s="51">
        <f t="shared" si="52"/>
        <v>145.65995020171346</v>
      </c>
      <c r="BK35" s="51">
        <f t="shared" si="53"/>
        <v>311.18796652828286</v>
      </c>
      <c r="BL35" s="51">
        <f t="shared" si="54"/>
        <v>42.226534777186082</v>
      </c>
      <c r="BN35" s="9"/>
      <c r="BO35" s="10"/>
      <c r="BP35" s="11"/>
      <c r="BQ35" s="32"/>
      <c r="BR35" s="12">
        <f t="shared" si="23"/>
        <v>56.796568775721767</v>
      </c>
      <c r="BS35" s="52">
        <f t="shared" ref="BS35:BS40" si="65">1/(1-BT35)</f>
        <v>199.99999999999983</v>
      </c>
      <c r="BT35" s="53">
        <v>0.995</v>
      </c>
      <c r="BU35" s="51">
        <f t="shared" si="24"/>
        <v>234.80932319364732</v>
      </c>
      <c r="BV35" s="51">
        <f t="shared" si="25"/>
        <v>5.2958121425350253</v>
      </c>
      <c r="BW35" s="51">
        <f t="shared" si="57"/>
        <v>147.94040023523348</v>
      </c>
      <c r="BX35" s="51">
        <f t="shared" si="58"/>
        <v>321.67824615206115</v>
      </c>
      <c r="BY35" s="51">
        <f t="shared" si="59"/>
        <v>44.320879060415216</v>
      </c>
    </row>
    <row r="36" spans="1:77" x14ac:dyDescent="0.3">
      <c r="A36" s="9" t="e">
        <f t="shared" si="0"/>
        <v>#N/A</v>
      </c>
      <c r="B36" s="10"/>
      <c r="C36" s="11"/>
      <c r="E36" s="12">
        <f t="shared" si="27"/>
        <v>53.333300418081251</v>
      </c>
      <c r="F36" s="52">
        <f t="shared" si="60"/>
        <v>999.99999999999909</v>
      </c>
      <c r="G36" s="53">
        <v>0.999</v>
      </c>
      <c r="H36" s="51">
        <f t="shared" si="2"/>
        <v>221.89441538696769</v>
      </c>
      <c r="I36" s="51">
        <f t="shared" si="3"/>
        <v>6.9072550705237159</v>
      </c>
      <c r="J36" s="51">
        <f t="shared" si="29"/>
        <v>140.53680840080057</v>
      </c>
      <c r="K36" s="51">
        <f t="shared" si="30"/>
        <v>303.25202237313482</v>
      </c>
      <c r="L36" s="51">
        <f t="shared" si="31"/>
        <v>41.508983156207712</v>
      </c>
      <c r="N36" s="9" t="e">
        <f t="shared" si="4"/>
        <v>#N/A</v>
      </c>
      <c r="O36" s="10"/>
      <c r="P36" s="11"/>
      <c r="Q36" s="32"/>
      <c r="R36" s="12">
        <f t="shared" si="33"/>
        <v>55.441590793518081</v>
      </c>
      <c r="S36" s="52">
        <f t="shared" si="61"/>
        <v>999.99999999999909</v>
      </c>
      <c r="T36" s="53">
        <v>0.999</v>
      </c>
      <c r="U36" s="51">
        <f t="shared" si="6"/>
        <v>280.83740146025082</v>
      </c>
      <c r="V36" s="51">
        <f t="shared" si="7"/>
        <v>6.9072550705237159</v>
      </c>
      <c r="W36" s="51">
        <f t="shared" si="35"/>
        <v>172.04799422396502</v>
      </c>
      <c r="X36" s="51">
        <f t="shared" si="36"/>
        <v>389.62680869653661</v>
      </c>
      <c r="Y36" s="51">
        <f t="shared" si="37"/>
        <v>55.504799610349892</v>
      </c>
      <c r="AA36" s="9"/>
      <c r="AB36" s="10"/>
      <c r="AC36" s="11"/>
      <c r="AD36" s="32"/>
      <c r="AE36" s="12">
        <f t="shared" si="39"/>
        <v>55.127024234462382</v>
      </c>
      <c r="AF36" s="52">
        <f t="shared" si="62"/>
        <v>999.99999999999909</v>
      </c>
      <c r="AG36" s="53">
        <v>0.999</v>
      </c>
      <c r="AH36" s="51">
        <f t="shared" si="10"/>
        <v>234.1409534238079</v>
      </c>
      <c r="AI36" s="51">
        <f t="shared" si="11"/>
        <v>6.9072550705237159</v>
      </c>
      <c r="AJ36" s="51">
        <f t="shared" si="41"/>
        <v>147.73819737461702</v>
      </c>
      <c r="AK36" s="51">
        <f t="shared" si="42"/>
        <v>320.54370947299878</v>
      </c>
      <c r="AL36" s="51">
        <f t="shared" si="43"/>
        <v>44.083038800607603</v>
      </c>
      <c r="AN36" s="9"/>
      <c r="AO36" s="10"/>
      <c r="AP36" s="11"/>
      <c r="AR36" s="12">
        <f t="shared" si="45"/>
        <v>56.648108901150771</v>
      </c>
      <c r="AS36" s="52">
        <f t="shared" si="63"/>
        <v>999.99999999999909</v>
      </c>
      <c r="AT36" s="53">
        <v>0.999</v>
      </c>
      <c r="AU36" s="51">
        <f t="shared" si="14"/>
        <v>291.06911553374852</v>
      </c>
      <c r="AV36" s="51">
        <f t="shared" si="15"/>
        <v>6.9072550705237159</v>
      </c>
      <c r="AW36" s="51">
        <f t="shared" si="47"/>
        <v>177.92361260778057</v>
      </c>
      <c r="AX36" s="51">
        <f t="shared" si="48"/>
        <v>404.21461845971646</v>
      </c>
      <c r="AY36" s="51">
        <f t="shared" si="49"/>
        <v>57.727297411208141</v>
      </c>
      <c r="BA36" s="9"/>
      <c r="BB36" s="10"/>
      <c r="BC36" s="11"/>
      <c r="BD36" s="32"/>
      <c r="BE36" s="12">
        <f t="shared" si="18"/>
        <v>58.82304059067468</v>
      </c>
      <c r="BF36" s="52">
        <f t="shared" si="64"/>
        <v>999.99999999999909</v>
      </c>
      <c r="BG36" s="53">
        <v>0.999</v>
      </c>
      <c r="BH36" s="51">
        <f t="shared" si="19"/>
        <v>280.03118916775077</v>
      </c>
      <c r="BI36" s="51">
        <f t="shared" si="20"/>
        <v>6.9072550705237159</v>
      </c>
      <c r="BJ36" s="51">
        <f t="shared" si="52"/>
        <v>173.26299641230204</v>
      </c>
      <c r="BK36" s="51">
        <f t="shared" si="53"/>
        <v>386.79938192319946</v>
      </c>
      <c r="BL36" s="51">
        <f t="shared" si="54"/>
        <v>54.473567732371798</v>
      </c>
      <c r="BN36" s="9"/>
      <c r="BO36" s="10"/>
      <c r="BP36" s="11"/>
      <c r="BQ36" s="32"/>
      <c r="BR36" s="12">
        <f t="shared" si="23"/>
        <v>56.796568775721767</v>
      </c>
      <c r="BS36" s="52">
        <f t="shared" si="65"/>
        <v>999.99999999999909</v>
      </c>
      <c r="BT36" s="53">
        <v>0.999</v>
      </c>
      <c r="BU36" s="51">
        <f t="shared" si="24"/>
        <v>288.9761603997041</v>
      </c>
      <c r="BV36" s="51">
        <f t="shared" si="25"/>
        <v>6.9072550705237159</v>
      </c>
      <c r="BW36" s="51">
        <f t="shared" si="57"/>
        <v>176.91249750189144</v>
      </c>
      <c r="BX36" s="51">
        <f t="shared" si="58"/>
        <v>401.03982329751676</v>
      </c>
      <c r="BY36" s="51">
        <f t="shared" si="59"/>
        <v>57.175338213169717</v>
      </c>
    </row>
    <row r="37" spans="1:77" x14ac:dyDescent="0.3">
      <c r="A37" s="9" t="e">
        <f t="shared" si="0"/>
        <v>#N/A</v>
      </c>
      <c r="B37" s="10"/>
      <c r="C37" s="11"/>
      <c r="E37" s="12">
        <f t="shared" si="27"/>
        <v>53.333300418081251</v>
      </c>
      <c r="F37" s="52">
        <f t="shared" si="60"/>
        <v>1111.1111111110963</v>
      </c>
      <c r="G37" s="53">
        <v>0.99909999999999999</v>
      </c>
      <c r="H37" s="51">
        <f t="shared" si="2"/>
        <v>224.46680058850404</v>
      </c>
      <c r="I37" s="51">
        <f t="shared" si="3"/>
        <v>7.0126656257987676</v>
      </c>
      <c r="J37" s="51">
        <f t="shared" si="29"/>
        <v>141.90874280341859</v>
      </c>
      <c r="K37" s="51">
        <f t="shared" si="30"/>
        <v>307.0248583735895</v>
      </c>
      <c r="L37" s="51">
        <f t="shared" si="31"/>
        <v>42.121458053615022</v>
      </c>
      <c r="N37" s="9" t="e">
        <f t="shared" si="4"/>
        <v>#N/A</v>
      </c>
      <c r="O37" s="10"/>
      <c r="P37" s="11"/>
      <c r="Q37" s="32"/>
      <c r="R37" s="12">
        <f t="shared" si="33"/>
        <v>55.441590793518081</v>
      </c>
      <c r="S37" s="52">
        <f t="shared" si="61"/>
        <v>1111.1111111110963</v>
      </c>
      <c r="T37" s="53">
        <v>0.99909999999999999</v>
      </c>
      <c r="U37" s="51">
        <f t="shared" si="6"/>
        <v>284.27713219503158</v>
      </c>
      <c r="V37" s="51">
        <f t="shared" si="7"/>
        <v>7.0126656257987676</v>
      </c>
      <c r="W37" s="51">
        <f t="shared" si="35"/>
        <v>173.88251143700523</v>
      </c>
      <c r="X37" s="51">
        <f t="shared" si="36"/>
        <v>394.67175295305793</v>
      </c>
      <c r="Y37" s="51">
        <f t="shared" si="37"/>
        <v>56.323786101033853</v>
      </c>
      <c r="AA37" s="9"/>
      <c r="AB37" s="10"/>
      <c r="AC37" s="11"/>
      <c r="AD37" s="32"/>
      <c r="AE37" s="12">
        <f t="shared" si="39"/>
        <v>55.127024234462382</v>
      </c>
      <c r="AF37" s="52">
        <f t="shared" si="62"/>
        <v>1111.1111111110963</v>
      </c>
      <c r="AG37" s="53">
        <v>0.99909999999999999</v>
      </c>
      <c r="AH37" s="51">
        <f t="shared" si="10"/>
        <v>236.87285741246234</v>
      </c>
      <c r="AI37" s="51">
        <f t="shared" si="11"/>
        <v>7.0126656257987676</v>
      </c>
      <c r="AJ37" s="51">
        <f t="shared" si="41"/>
        <v>149.19520819261029</v>
      </c>
      <c r="AK37" s="51">
        <f t="shared" si="42"/>
        <v>324.55050663231441</v>
      </c>
      <c r="AL37" s="51">
        <f t="shared" si="43"/>
        <v>44.733494499924511</v>
      </c>
      <c r="AN37" s="9"/>
      <c r="AO37" s="10"/>
      <c r="AP37" s="11"/>
      <c r="AR37" s="12">
        <f t="shared" si="45"/>
        <v>56.648108901150771</v>
      </c>
      <c r="AS37" s="52">
        <f t="shared" si="63"/>
        <v>1111.1111111110963</v>
      </c>
      <c r="AT37" s="53">
        <v>0.99909999999999999</v>
      </c>
      <c r="AU37" s="51">
        <f t="shared" si="14"/>
        <v>294.64657839344932</v>
      </c>
      <c r="AV37" s="51">
        <f t="shared" si="15"/>
        <v>7.0126656257987676</v>
      </c>
      <c r="AW37" s="51">
        <f t="shared" si="47"/>
        <v>179.83158672004822</v>
      </c>
      <c r="AX37" s="51">
        <f t="shared" si="48"/>
        <v>409.46157006685041</v>
      </c>
      <c r="AY37" s="51">
        <f t="shared" si="49"/>
        <v>58.579077384388313</v>
      </c>
      <c r="BA37" s="9"/>
      <c r="BB37" s="10"/>
      <c r="BC37" s="11"/>
      <c r="BD37" s="32"/>
      <c r="BE37" s="12">
        <f t="shared" si="18"/>
        <v>58.82304059067468</v>
      </c>
      <c r="BF37" s="52">
        <f t="shared" si="64"/>
        <v>1111.1111111110963</v>
      </c>
      <c r="BG37" s="53">
        <v>0.99909999999999999</v>
      </c>
      <c r="BH37" s="51">
        <f t="shared" si="19"/>
        <v>283.40701263666864</v>
      </c>
      <c r="BI37" s="51">
        <f t="shared" si="20"/>
        <v>7.0126656257987676</v>
      </c>
      <c r="BJ37" s="51">
        <f t="shared" si="52"/>
        <v>175.06342985881997</v>
      </c>
      <c r="BK37" s="51">
        <f t="shared" si="53"/>
        <v>391.75059541451731</v>
      </c>
      <c r="BL37" s="51">
        <f t="shared" si="54"/>
        <v>55.277338151963605</v>
      </c>
      <c r="BN37" s="9"/>
      <c r="BO37" s="10"/>
      <c r="BP37" s="11"/>
      <c r="BQ37" s="32"/>
      <c r="BR37" s="12">
        <f t="shared" si="23"/>
        <v>56.796568775721767</v>
      </c>
      <c r="BS37" s="52">
        <f t="shared" si="65"/>
        <v>1111.1111111110963</v>
      </c>
      <c r="BT37" s="53">
        <v>0.99909999999999999</v>
      </c>
      <c r="BU37" s="51">
        <f t="shared" si="24"/>
        <v>292.51941737034372</v>
      </c>
      <c r="BV37" s="51">
        <f t="shared" si="25"/>
        <v>7.0126656257987676</v>
      </c>
      <c r="BW37" s="51">
        <f t="shared" si="57"/>
        <v>178.80222853145631</v>
      </c>
      <c r="BX37" s="51">
        <f t="shared" si="58"/>
        <v>406.23660620923113</v>
      </c>
      <c r="BY37" s="51">
        <f t="shared" si="59"/>
        <v>58.01897389739154</v>
      </c>
    </row>
    <row r="38" spans="1:77" x14ac:dyDescent="0.3">
      <c r="A38" s="9" t="e">
        <f t="shared" si="0"/>
        <v>#N/A</v>
      </c>
      <c r="B38" s="10"/>
      <c r="C38" s="11"/>
      <c r="E38" s="12">
        <f t="shared" si="27"/>
        <v>53.333300418081251</v>
      </c>
      <c r="F38" s="52">
        <f t="shared" si="60"/>
        <v>1249.9999999999643</v>
      </c>
      <c r="G38" s="53">
        <v>0.99919999999999998</v>
      </c>
      <c r="H38" s="51">
        <f t="shared" si="2"/>
        <v>227.34233850364706</v>
      </c>
      <c r="I38" s="51">
        <f t="shared" si="3"/>
        <v>7.1304986968989494</v>
      </c>
      <c r="J38" s="51">
        <f t="shared" si="29"/>
        <v>143.44192658823243</v>
      </c>
      <c r="K38" s="51">
        <f t="shared" si="30"/>
        <v>311.24275041906168</v>
      </c>
      <c r="L38" s="51">
        <f t="shared" si="31"/>
        <v>42.806332609905418</v>
      </c>
      <c r="N38" s="9" t="e">
        <f t="shared" si="4"/>
        <v>#N/A</v>
      </c>
      <c r="O38" s="10"/>
      <c r="P38" s="11"/>
      <c r="Q38" s="32"/>
      <c r="R38" s="12">
        <f t="shared" si="33"/>
        <v>55.441590793518081</v>
      </c>
      <c r="S38" s="52">
        <f t="shared" si="61"/>
        <v>1249.9999999999643</v>
      </c>
      <c r="T38" s="53">
        <v>0.99919999999999998</v>
      </c>
      <c r="U38" s="51">
        <f t="shared" si="6"/>
        <v>288.12223134263883</v>
      </c>
      <c r="V38" s="51">
        <f t="shared" si="7"/>
        <v>7.1304986968989494</v>
      </c>
      <c r="W38" s="51">
        <f t="shared" si="35"/>
        <v>175.93264739002734</v>
      </c>
      <c r="X38" s="51">
        <f t="shared" si="36"/>
        <v>400.31181529525031</v>
      </c>
      <c r="Y38" s="51">
        <f t="shared" si="37"/>
        <v>57.239583649291575</v>
      </c>
      <c r="AA38" s="9"/>
      <c r="AB38" s="10"/>
      <c r="AC38" s="11"/>
      <c r="AD38" s="32"/>
      <c r="AE38" s="12">
        <f t="shared" si="39"/>
        <v>55.127024234462382</v>
      </c>
      <c r="AF38" s="52">
        <f t="shared" si="62"/>
        <v>1249.9999999999643</v>
      </c>
      <c r="AG38" s="53">
        <v>0.99919999999999998</v>
      </c>
      <c r="AH38" s="51">
        <f t="shared" si="10"/>
        <v>239.92671322504231</v>
      </c>
      <c r="AI38" s="51">
        <f t="shared" si="11"/>
        <v>7.1304986968989494</v>
      </c>
      <c r="AJ38" s="51">
        <f t="shared" si="41"/>
        <v>150.82346779174492</v>
      </c>
      <c r="AK38" s="51">
        <f t="shared" si="42"/>
        <v>329.02995865833969</v>
      </c>
      <c r="AL38" s="51">
        <f t="shared" si="43"/>
        <v>45.460839506784389</v>
      </c>
      <c r="AN38" s="9"/>
      <c r="AO38" s="10"/>
      <c r="AP38" s="11"/>
      <c r="AR38" s="12">
        <f t="shared" si="45"/>
        <v>56.648108901150771</v>
      </c>
      <c r="AS38" s="52">
        <f t="shared" si="63"/>
        <v>1249.9999999999643</v>
      </c>
      <c r="AT38" s="53">
        <v>0.99919999999999998</v>
      </c>
      <c r="AU38" s="51">
        <f t="shared" si="14"/>
        <v>298.64564124256759</v>
      </c>
      <c r="AV38" s="51">
        <f t="shared" si="15"/>
        <v>7.1304986968989494</v>
      </c>
      <c r="AW38" s="51">
        <f t="shared" si="47"/>
        <v>181.96381327927082</v>
      </c>
      <c r="AX38" s="51">
        <f t="shared" si="48"/>
        <v>415.32746920586436</v>
      </c>
      <c r="AY38" s="51">
        <f t="shared" si="49"/>
        <v>59.531544879233046</v>
      </c>
      <c r="BA38" s="9"/>
      <c r="BB38" s="10"/>
      <c r="BC38" s="11"/>
      <c r="BD38" s="32"/>
      <c r="BE38" s="12">
        <f t="shared" si="18"/>
        <v>58.82304059067468</v>
      </c>
      <c r="BF38" s="52">
        <f t="shared" si="64"/>
        <v>1249.9999999999643</v>
      </c>
      <c r="BG38" s="53">
        <v>0.99919999999999998</v>
      </c>
      <c r="BH38" s="51">
        <f t="shared" si="19"/>
        <v>287.18067311873995</v>
      </c>
      <c r="BI38" s="51">
        <f t="shared" si="20"/>
        <v>7.1304986968989494</v>
      </c>
      <c r="BJ38" s="51">
        <f t="shared" si="52"/>
        <v>177.07547603287179</v>
      </c>
      <c r="BK38" s="51">
        <f t="shared" si="53"/>
        <v>397.2858702046081</v>
      </c>
      <c r="BL38" s="51">
        <f t="shared" si="54"/>
        <v>56.176120962177642</v>
      </c>
      <c r="BN38" s="9"/>
      <c r="BO38" s="10"/>
      <c r="BP38" s="11"/>
      <c r="BQ38" s="32"/>
      <c r="BR38" s="12">
        <f t="shared" si="23"/>
        <v>56.796568775721767</v>
      </c>
      <c r="BS38" s="52">
        <f t="shared" si="65"/>
        <v>1249.9999999999643</v>
      </c>
      <c r="BT38" s="53">
        <v>0.99919999999999998</v>
      </c>
      <c r="BU38" s="51">
        <f t="shared" si="24"/>
        <v>296.48024320470302</v>
      </c>
      <c r="BV38" s="51">
        <f t="shared" si="25"/>
        <v>7.1304986968989494</v>
      </c>
      <c r="BW38" s="51">
        <f t="shared" si="57"/>
        <v>180.91406781958801</v>
      </c>
      <c r="BX38" s="51">
        <f t="shared" si="58"/>
        <v>412.04641858981802</v>
      </c>
      <c r="BY38" s="51">
        <f t="shared" si="59"/>
        <v>58.962334380160726</v>
      </c>
    </row>
    <row r="39" spans="1:77" x14ac:dyDescent="0.3">
      <c r="A39" s="9" t="e">
        <f t="shared" si="0"/>
        <v>#N/A</v>
      </c>
      <c r="B39" s="10"/>
      <c r="C39" s="11"/>
      <c r="E39" s="12">
        <f t="shared" si="27"/>
        <v>53.333300418081251</v>
      </c>
      <c r="F39" s="52">
        <f t="shared" si="60"/>
        <v>1428.5714285713593</v>
      </c>
      <c r="G39" s="53">
        <v>0.99929999999999997</v>
      </c>
      <c r="H39" s="51">
        <f t="shared" si="2"/>
        <v>230.60219115438659</v>
      </c>
      <c r="I39" s="51">
        <f t="shared" si="3"/>
        <v>7.264080120794592</v>
      </c>
      <c r="J39" s="51">
        <f t="shared" si="29"/>
        <v>145.17949515983057</v>
      </c>
      <c r="K39" s="51">
        <f t="shared" si="30"/>
        <v>316.02488714894264</v>
      </c>
      <c r="L39" s="51">
        <f t="shared" si="31"/>
        <v>43.583008160487765</v>
      </c>
      <c r="N39" s="9" t="e">
        <f t="shared" si="4"/>
        <v>#N/A</v>
      </c>
      <c r="O39" s="10"/>
      <c r="P39" s="11"/>
      <c r="Q39" s="32"/>
      <c r="R39" s="12">
        <f t="shared" si="33"/>
        <v>55.441590793518081</v>
      </c>
      <c r="S39" s="52">
        <f t="shared" si="61"/>
        <v>1428.5714285713593</v>
      </c>
      <c r="T39" s="53">
        <v>0.99929999999999997</v>
      </c>
      <c r="U39" s="51">
        <f t="shared" si="6"/>
        <v>292.48122677882327</v>
      </c>
      <c r="V39" s="51">
        <f t="shared" si="7"/>
        <v>7.264080120794592</v>
      </c>
      <c r="W39" s="51">
        <f t="shared" si="35"/>
        <v>178.25608169370227</v>
      </c>
      <c r="X39" s="51">
        <f t="shared" si="36"/>
        <v>406.70637186394424</v>
      </c>
      <c r="Y39" s="51">
        <f t="shared" si="37"/>
        <v>58.278135247510718</v>
      </c>
      <c r="AA39" s="9"/>
      <c r="AB39" s="10"/>
      <c r="AC39" s="11"/>
      <c r="AD39" s="32"/>
      <c r="AE39" s="12">
        <f t="shared" si="39"/>
        <v>55.127024234462382</v>
      </c>
      <c r="AF39" s="52">
        <f t="shared" si="62"/>
        <v>1428.5714285713593</v>
      </c>
      <c r="AG39" s="53">
        <v>0.99929999999999997</v>
      </c>
      <c r="AH39" s="51">
        <f t="shared" si="10"/>
        <v>243.38871590398105</v>
      </c>
      <c r="AI39" s="51">
        <f t="shared" si="11"/>
        <v>7.264080120794592</v>
      </c>
      <c r="AJ39" s="51">
        <f t="shared" si="41"/>
        <v>152.66878648992224</v>
      </c>
      <c r="AK39" s="51">
        <f t="shared" si="42"/>
        <v>334.10864531803986</v>
      </c>
      <c r="AL39" s="51">
        <f t="shared" si="43"/>
        <v>46.285678272478997</v>
      </c>
      <c r="AN39" s="9"/>
      <c r="AO39" s="10"/>
      <c r="AP39" s="11"/>
      <c r="AR39" s="12">
        <f t="shared" si="45"/>
        <v>56.648108901150771</v>
      </c>
      <c r="AS39" s="52">
        <f t="shared" si="63"/>
        <v>1428.5714285713593</v>
      </c>
      <c r="AT39" s="53">
        <v>0.99929999999999997</v>
      </c>
      <c r="AU39" s="51">
        <f t="shared" si="14"/>
        <v>303.17917758041966</v>
      </c>
      <c r="AV39" s="51">
        <f t="shared" si="15"/>
        <v>7.264080120794592</v>
      </c>
      <c r="AW39" s="51">
        <f t="shared" si="47"/>
        <v>184.38028147671002</v>
      </c>
      <c r="AX39" s="51">
        <f t="shared" si="48"/>
        <v>421.9780736841293</v>
      </c>
      <c r="AY39" s="51">
        <f t="shared" si="49"/>
        <v>60.61168168556614</v>
      </c>
      <c r="BA39" s="9"/>
      <c r="BB39" s="10"/>
      <c r="BC39" s="11"/>
      <c r="BD39" s="32"/>
      <c r="BE39" s="12">
        <f t="shared" si="18"/>
        <v>58.82304059067468</v>
      </c>
      <c r="BF39" s="52">
        <f t="shared" si="64"/>
        <v>1428.5714285713593</v>
      </c>
      <c r="BG39" s="53">
        <v>0.99929999999999997</v>
      </c>
      <c r="BH39" s="51">
        <f t="shared" si="19"/>
        <v>291.45868213426695</v>
      </c>
      <c r="BI39" s="51">
        <f t="shared" si="20"/>
        <v>7.264080120794592</v>
      </c>
      <c r="BJ39" s="51">
        <f t="shared" si="52"/>
        <v>179.3557429071144</v>
      </c>
      <c r="BK39" s="51">
        <f t="shared" si="53"/>
        <v>403.5616213614195</v>
      </c>
      <c r="BL39" s="51">
        <f t="shared" si="54"/>
        <v>57.195377156710485</v>
      </c>
      <c r="BN39" s="9"/>
      <c r="BO39" s="10"/>
      <c r="BP39" s="11"/>
      <c r="BQ39" s="32"/>
      <c r="BR39" s="12">
        <f t="shared" si="23"/>
        <v>56.796568775721767</v>
      </c>
      <c r="BS39" s="52">
        <f t="shared" si="65"/>
        <v>1428.5714285713593</v>
      </c>
      <c r="BT39" s="53">
        <v>0.99929999999999997</v>
      </c>
      <c r="BU39" s="51">
        <f t="shared" si="24"/>
        <v>300.97043216283123</v>
      </c>
      <c r="BV39" s="51">
        <f t="shared" si="25"/>
        <v>7.264080120794592</v>
      </c>
      <c r="BW39" s="51">
        <f t="shared" si="57"/>
        <v>183.30743097126626</v>
      </c>
      <c r="BX39" s="51">
        <f t="shared" si="58"/>
        <v>418.63343335439617</v>
      </c>
      <c r="BY39" s="51">
        <f t="shared" si="59"/>
        <v>60.032143465084168</v>
      </c>
    </row>
    <row r="40" spans="1:77" x14ac:dyDescent="0.3">
      <c r="A40" s="9" t="e">
        <f t="shared" si="0"/>
        <v>#N/A</v>
      </c>
      <c r="B40" s="10"/>
      <c r="C40" s="11"/>
      <c r="E40" s="12">
        <f t="shared" si="27"/>
        <v>53.333300418081251</v>
      </c>
      <c r="F40" s="52">
        <f t="shared" si="60"/>
        <v>1666.6666666665419</v>
      </c>
      <c r="G40" s="53">
        <v>0.99939999999999996</v>
      </c>
      <c r="H40" s="51">
        <f t="shared" si="2"/>
        <v>234.36522622738298</v>
      </c>
      <c r="I40" s="51">
        <f t="shared" si="3"/>
        <v>7.4182808277210412</v>
      </c>
      <c r="J40" s="51">
        <f t="shared" si="29"/>
        <v>147.18461372241876</v>
      </c>
      <c r="K40" s="51">
        <f t="shared" si="30"/>
        <v>321.54583873234719</v>
      </c>
      <c r="L40" s="51">
        <f t="shared" si="31"/>
        <v>44.479904339267463</v>
      </c>
      <c r="N40" s="9" t="e">
        <f t="shared" si="4"/>
        <v>#N/A</v>
      </c>
      <c r="O40" s="10"/>
      <c r="P40" s="11"/>
      <c r="Q40" s="32"/>
      <c r="R40" s="12">
        <f t="shared" si="33"/>
        <v>55.441590793518081</v>
      </c>
      <c r="S40" s="52">
        <f t="shared" si="61"/>
        <v>1666.6666666665419</v>
      </c>
      <c r="T40" s="53">
        <v>0.99939999999999996</v>
      </c>
      <c r="U40" s="51">
        <f t="shared" si="6"/>
        <v>297.51306547425384</v>
      </c>
      <c r="V40" s="51">
        <f t="shared" si="7"/>
        <v>7.4182808277210412</v>
      </c>
      <c r="W40" s="51">
        <f t="shared" si="35"/>
        <v>180.93727731809577</v>
      </c>
      <c r="X40" s="51">
        <f t="shared" si="36"/>
        <v>414.0888536304119</v>
      </c>
      <c r="Y40" s="51">
        <f t="shared" si="37"/>
        <v>59.477442936815336</v>
      </c>
      <c r="AA40" s="9"/>
      <c r="AB40" s="10"/>
      <c r="AC40" s="11"/>
      <c r="AD40" s="32"/>
      <c r="AE40" s="12">
        <f t="shared" si="39"/>
        <v>55.127024234462382</v>
      </c>
      <c r="AF40" s="52">
        <f t="shared" si="62"/>
        <v>1666.6666666665419</v>
      </c>
      <c r="AG40" s="53">
        <v>0.99939999999999996</v>
      </c>
      <c r="AH40" s="51">
        <f t="shared" si="10"/>
        <v>247.38510436058766</v>
      </c>
      <c r="AI40" s="51">
        <f t="shared" si="11"/>
        <v>7.4182808277210412</v>
      </c>
      <c r="AJ40" s="51">
        <f t="shared" si="41"/>
        <v>154.79824649287519</v>
      </c>
      <c r="AK40" s="51">
        <f t="shared" si="42"/>
        <v>339.97196222830013</v>
      </c>
      <c r="AL40" s="51">
        <f t="shared" si="43"/>
        <v>47.238192789649226</v>
      </c>
      <c r="AN40" s="9"/>
      <c r="AO40" s="10"/>
      <c r="AP40" s="11"/>
      <c r="AR40" s="12">
        <f t="shared" si="45"/>
        <v>56.648108901150771</v>
      </c>
      <c r="AS40" s="52">
        <f t="shared" si="63"/>
        <v>1666.6666666665419</v>
      </c>
      <c r="AT40" s="53">
        <v>0.99939999999999996</v>
      </c>
      <c r="AU40" s="51">
        <f t="shared" si="14"/>
        <v>308.4124988595795</v>
      </c>
      <c r="AV40" s="51">
        <f t="shared" si="15"/>
        <v>7.4182808277210412</v>
      </c>
      <c r="AW40" s="51">
        <f t="shared" si="47"/>
        <v>187.16883631004976</v>
      </c>
      <c r="AX40" s="51">
        <f t="shared" si="48"/>
        <v>429.65616140910925</v>
      </c>
      <c r="AY40" s="51">
        <f t="shared" si="49"/>
        <v>61.85901150486211</v>
      </c>
      <c r="BA40" s="9"/>
      <c r="BB40" s="10"/>
      <c r="BC40" s="11"/>
      <c r="BD40" s="32"/>
      <c r="BE40" s="12">
        <f t="shared" si="18"/>
        <v>58.82304059067468</v>
      </c>
      <c r="BF40" s="52">
        <f t="shared" si="64"/>
        <v>1666.6666666665419</v>
      </c>
      <c r="BG40" s="53">
        <v>0.99939999999999996</v>
      </c>
      <c r="BH40" s="51">
        <f t="shared" si="19"/>
        <v>296.39703355465105</v>
      </c>
      <c r="BI40" s="51">
        <f t="shared" si="20"/>
        <v>7.4182808277210412</v>
      </c>
      <c r="BJ40" s="51">
        <f t="shared" si="52"/>
        <v>181.98712420160527</v>
      </c>
      <c r="BK40" s="51">
        <f t="shared" si="53"/>
        <v>410.80694290769679</v>
      </c>
      <c r="BL40" s="51">
        <f t="shared" si="54"/>
        <v>58.372402731145804</v>
      </c>
      <c r="BN40" s="9"/>
      <c r="BO40" s="10"/>
      <c r="BP40" s="11"/>
      <c r="BQ40" s="32"/>
      <c r="BR40" s="12">
        <f t="shared" si="23"/>
        <v>56.796568775721767</v>
      </c>
      <c r="BS40" s="52">
        <f t="shared" si="65"/>
        <v>1666.6666666665419</v>
      </c>
      <c r="BT40" s="53">
        <v>0.99939999999999996</v>
      </c>
      <c r="BU40" s="51">
        <f t="shared" si="24"/>
        <v>306.15371507286829</v>
      </c>
      <c r="BV40" s="51">
        <f t="shared" si="25"/>
        <v>7.4182808277210412</v>
      </c>
      <c r="BW40" s="51">
        <f t="shared" si="57"/>
        <v>186.06932305477153</v>
      </c>
      <c r="BX40" s="51">
        <f t="shared" si="58"/>
        <v>426.23810709096506</v>
      </c>
      <c r="BY40" s="51">
        <f t="shared" si="59"/>
        <v>61.267546948008558</v>
      </c>
    </row>
    <row r="41" spans="1:77" x14ac:dyDescent="0.3">
      <c r="A41" s="9" t="e">
        <f t="shared" si="0"/>
        <v>#N/A</v>
      </c>
      <c r="B41" s="10"/>
      <c r="C41" s="11"/>
      <c r="E41" s="12">
        <f t="shared" si="27"/>
        <v>53.333300418081251</v>
      </c>
      <c r="F41" s="52">
        <f>1/(1-G41)</f>
        <v>2000.0000000002203</v>
      </c>
      <c r="G41" s="53">
        <v>0.99950000000000006</v>
      </c>
      <c r="H41" s="51">
        <f t="shared" si="2"/>
        <v>238.81572885147071</v>
      </c>
      <c r="I41" s="51">
        <f t="shared" si="3"/>
        <v>7.6006524074432287</v>
      </c>
      <c r="J41" s="51">
        <f t="shared" si="29"/>
        <v>149.55519301725838</v>
      </c>
      <c r="K41" s="51">
        <f t="shared" si="30"/>
        <v>328.07626468568304</v>
      </c>
      <c r="L41" s="51">
        <f t="shared" si="31"/>
        <v>45.541089711332823</v>
      </c>
      <c r="N41" s="9" t="e">
        <f t="shared" si="4"/>
        <v>#N/A</v>
      </c>
      <c r="O41" s="10"/>
      <c r="P41" s="11"/>
      <c r="Q41" s="32"/>
      <c r="R41" s="12">
        <f t="shared" si="33"/>
        <v>55.441590793518081</v>
      </c>
      <c r="S41" s="52">
        <f>1/(1-T41)</f>
        <v>2000.0000000002203</v>
      </c>
      <c r="T41" s="53">
        <v>0.99950000000000006</v>
      </c>
      <c r="U41" s="51">
        <f t="shared" si="6"/>
        <v>303.46416900733044</v>
      </c>
      <c r="V41" s="51">
        <f t="shared" si="7"/>
        <v>7.6006524074432287</v>
      </c>
      <c r="W41" s="51">
        <f t="shared" si="35"/>
        <v>184.10715811776166</v>
      </c>
      <c r="X41" s="51">
        <f t="shared" si="36"/>
        <v>422.82117989689925</v>
      </c>
      <c r="Y41" s="51">
        <f t="shared" si="37"/>
        <v>60.896434127331013</v>
      </c>
      <c r="AA41" s="9"/>
      <c r="AB41" s="10"/>
      <c r="AC41" s="11"/>
      <c r="AD41" s="32"/>
      <c r="AE41" s="12">
        <f t="shared" si="39"/>
        <v>55.127024234462382</v>
      </c>
      <c r="AF41" s="52">
        <f>1/(1-AG41)</f>
        <v>2000.0000000002203</v>
      </c>
      <c r="AG41" s="53">
        <v>0.99950000000000006</v>
      </c>
      <c r="AH41" s="51">
        <f t="shared" si="10"/>
        <v>252.11159161568497</v>
      </c>
      <c r="AI41" s="51">
        <f t="shared" si="11"/>
        <v>7.6006524074432287</v>
      </c>
      <c r="AJ41" s="51">
        <f t="shared" si="41"/>
        <v>157.31583018412258</v>
      </c>
      <c r="AK41" s="51">
        <f t="shared" si="42"/>
        <v>346.9073530472474</v>
      </c>
      <c r="AL41" s="51">
        <f t="shared" si="43"/>
        <v>48.365184403858365</v>
      </c>
      <c r="AN41" s="9"/>
      <c r="AO41" s="10"/>
      <c r="AP41" s="11"/>
      <c r="AR41" s="12">
        <f t="shared" si="45"/>
        <v>56.648108901150771</v>
      </c>
      <c r="AS41" s="52">
        <f>1/(1-AT41)</f>
        <v>2000.0000000002203</v>
      </c>
      <c r="AT41" s="53">
        <v>0.99950000000000006</v>
      </c>
      <c r="AU41" s="51">
        <f t="shared" si="14"/>
        <v>314.60189375858829</v>
      </c>
      <c r="AV41" s="51">
        <f t="shared" si="15"/>
        <v>7.6006524074432287</v>
      </c>
      <c r="AW41" s="51">
        <f t="shared" si="47"/>
        <v>190.4656440269498</v>
      </c>
      <c r="AX41" s="51">
        <f t="shared" si="48"/>
        <v>438.73814349022678</v>
      </c>
      <c r="AY41" s="51">
        <f t="shared" si="49"/>
        <v>63.334821291652297</v>
      </c>
      <c r="BA41" s="9"/>
      <c r="BB41" s="10"/>
      <c r="BC41" s="11"/>
      <c r="BD41" s="32"/>
      <c r="BE41" s="12">
        <f t="shared" si="18"/>
        <v>58.82304059067468</v>
      </c>
      <c r="BF41" s="52">
        <f>1/(1-BG41)</f>
        <v>2000.0000000002203</v>
      </c>
      <c r="BG41" s="53">
        <v>0.99950000000000006</v>
      </c>
      <c r="BH41" s="51">
        <f t="shared" si="19"/>
        <v>302.23757065535534</v>
      </c>
      <c r="BI41" s="51">
        <f t="shared" si="20"/>
        <v>7.6006524074432287</v>
      </c>
      <c r="BJ41" s="51">
        <f t="shared" si="52"/>
        <v>185.09811131724825</v>
      </c>
      <c r="BK41" s="51">
        <f t="shared" si="53"/>
        <v>419.37702999346243</v>
      </c>
      <c r="BL41" s="51">
        <f t="shared" si="54"/>
        <v>59.765030274544429</v>
      </c>
      <c r="BN41" s="9"/>
      <c r="BO41" s="10"/>
      <c r="BP41" s="11"/>
      <c r="BQ41" s="32"/>
      <c r="BR41" s="12">
        <f t="shared" si="23"/>
        <v>56.796568775721767</v>
      </c>
      <c r="BS41" s="52">
        <f>1/(1-BT41)</f>
        <v>2000.0000000002203</v>
      </c>
      <c r="BT41" s="53">
        <v>0.99950000000000006</v>
      </c>
      <c r="BU41" s="51">
        <f t="shared" si="24"/>
        <v>312.28393011073678</v>
      </c>
      <c r="BV41" s="51">
        <f t="shared" si="25"/>
        <v>7.6006524074432287</v>
      </c>
      <c r="BW41" s="51">
        <f t="shared" si="57"/>
        <v>189.33460836502661</v>
      </c>
      <c r="BX41" s="51">
        <f t="shared" si="58"/>
        <v>435.23325185644694</v>
      </c>
      <c r="BY41" s="51">
        <f t="shared" si="59"/>
        <v>62.72924578862763</v>
      </c>
    </row>
    <row r="42" spans="1:77" x14ac:dyDescent="0.3">
      <c r="A42" s="9" t="e">
        <f t="shared" si="0"/>
        <v>#N/A</v>
      </c>
      <c r="B42" s="10"/>
      <c r="C42" s="11"/>
      <c r="E42" s="12">
        <f t="shared" si="27"/>
        <v>53.333300418081251</v>
      </c>
      <c r="F42" s="52">
        <f t="shared" si="60"/>
        <v>2500.0000000002751</v>
      </c>
      <c r="G42" s="53">
        <v>0.99960000000000004</v>
      </c>
      <c r="H42" s="51">
        <f t="shared" si="2"/>
        <v>244.26243041975994</v>
      </c>
      <c r="I42" s="51">
        <f t="shared" si="3"/>
        <v>7.8238459775150666</v>
      </c>
      <c r="J42" s="51">
        <f t="shared" si="29"/>
        <v>152.45523057669936</v>
      </c>
      <c r="K42" s="51">
        <f t="shared" si="30"/>
        <v>336.06963026282051</v>
      </c>
      <c r="L42" s="51">
        <f t="shared" si="31"/>
        <v>46.840408083194177</v>
      </c>
      <c r="N42" s="9" t="e">
        <f t="shared" si="4"/>
        <v>#N/A</v>
      </c>
      <c r="O42" s="10"/>
      <c r="P42" s="11"/>
      <c r="Q42" s="32"/>
      <c r="R42" s="12">
        <f t="shared" si="33"/>
        <v>55.441590793518081</v>
      </c>
      <c r="S42" s="52">
        <f t="shared" ref="S42:S44" si="66">1/(1-T42)</f>
        <v>2500.0000000002751</v>
      </c>
      <c r="T42" s="53">
        <v>0.99960000000000004</v>
      </c>
      <c r="U42" s="51">
        <f t="shared" si="6"/>
        <v>310.74736546501242</v>
      </c>
      <c r="V42" s="51">
        <f t="shared" si="7"/>
        <v>7.8238459775150666</v>
      </c>
      <c r="W42" s="51">
        <f t="shared" si="35"/>
        <v>187.98501759202313</v>
      </c>
      <c r="X42" s="51">
        <f t="shared" si="36"/>
        <v>433.50971333800169</v>
      </c>
      <c r="Y42" s="51">
        <f t="shared" si="37"/>
        <v>62.633850955606782</v>
      </c>
      <c r="AA42" s="9"/>
      <c r="AB42" s="10"/>
      <c r="AC42" s="11"/>
      <c r="AD42" s="32"/>
      <c r="AE42" s="12">
        <f t="shared" si="39"/>
        <v>55.127024234462382</v>
      </c>
      <c r="AF42" s="52">
        <f t="shared" ref="AF42:AF44" si="67">1/(1-AG42)</f>
        <v>2500.0000000002751</v>
      </c>
      <c r="AG42" s="53">
        <v>0.99960000000000004</v>
      </c>
      <c r="AH42" s="51">
        <f t="shared" si="10"/>
        <v>257.89605411785345</v>
      </c>
      <c r="AI42" s="51">
        <f t="shared" si="11"/>
        <v>7.8238459775150666</v>
      </c>
      <c r="AJ42" s="51">
        <f t="shared" si="41"/>
        <v>160.39570491328561</v>
      </c>
      <c r="AK42" s="51">
        <f t="shared" si="42"/>
        <v>355.39640332242129</v>
      </c>
      <c r="AL42" s="51">
        <f t="shared" si="43"/>
        <v>49.745076124779509</v>
      </c>
      <c r="AN42" s="9"/>
      <c r="AO42" s="10"/>
      <c r="AP42" s="11"/>
      <c r="AR42" s="12">
        <f t="shared" si="45"/>
        <v>56.648108901150771</v>
      </c>
      <c r="AS42" s="52">
        <f t="shared" ref="AS42:AS44" si="68">1/(1-AT42)</f>
        <v>2500.0000000002751</v>
      </c>
      <c r="AT42" s="53">
        <v>0.99960000000000004</v>
      </c>
      <c r="AU42" s="51">
        <f t="shared" si="14"/>
        <v>322.17672063785631</v>
      </c>
      <c r="AV42" s="51">
        <f t="shared" si="15"/>
        <v>7.8238459775150666</v>
      </c>
      <c r="AW42" s="51">
        <f t="shared" si="47"/>
        <v>194.49877897673923</v>
      </c>
      <c r="AX42" s="51">
        <f t="shared" si="48"/>
        <v>449.85466229897338</v>
      </c>
      <c r="AY42" s="51">
        <f t="shared" si="49"/>
        <v>65.141806969957699</v>
      </c>
      <c r="BA42" s="9"/>
      <c r="BB42" s="10"/>
      <c r="BC42" s="11"/>
      <c r="BD42" s="32"/>
      <c r="BE42" s="12">
        <f t="shared" si="18"/>
        <v>58.82304059067468</v>
      </c>
      <c r="BF42" s="52">
        <f t="shared" ref="BF42:BF44" si="69">1/(1-BG42)</f>
        <v>2500.0000000002751</v>
      </c>
      <c r="BG42" s="53">
        <v>0.99960000000000004</v>
      </c>
      <c r="BH42" s="51">
        <f t="shared" si="19"/>
        <v>309.38545152927765</v>
      </c>
      <c r="BI42" s="51">
        <f t="shared" si="20"/>
        <v>7.8238459775150666</v>
      </c>
      <c r="BJ42" s="51">
        <f t="shared" si="52"/>
        <v>188.90392346702157</v>
      </c>
      <c r="BK42" s="51">
        <f t="shared" si="53"/>
        <v>429.86697959153372</v>
      </c>
      <c r="BL42" s="51">
        <f t="shared" si="54"/>
        <v>61.470167378702079</v>
      </c>
      <c r="BN42" s="9"/>
      <c r="BO42" s="10"/>
      <c r="BP42" s="11"/>
      <c r="BQ42" s="32"/>
      <c r="BR42" s="12">
        <f t="shared" si="23"/>
        <v>56.796568775721767</v>
      </c>
      <c r="BS42" s="52">
        <f t="shared" ref="BS42:BS44" si="70">1/(1-BT42)</f>
        <v>2500.0000000002751</v>
      </c>
      <c r="BT42" s="53">
        <v>0.99960000000000004</v>
      </c>
      <c r="BU42" s="51">
        <f t="shared" si="24"/>
        <v>319.78633032953292</v>
      </c>
      <c r="BV42" s="51">
        <f t="shared" si="25"/>
        <v>7.8238459775150666</v>
      </c>
      <c r="BW42" s="51">
        <f t="shared" si="57"/>
        <v>193.32918051987681</v>
      </c>
      <c r="BX42" s="51">
        <f t="shared" si="58"/>
        <v>446.24348013918905</v>
      </c>
      <c r="BY42" s="51">
        <f t="shared" si="59"/>
        <v>64.518953984518419</v>
      </c>
    </row>
    <row r="43" spans="1:77" x14ac:dyDescent="0.3">
      <c r="A43" s="9" t="e">
        <f t="shared" si="0"/>
        <v>#N/A</v>
      </c>
      <c r="B43" s="10"/>
      <c r="C43" s="11"/>
      <c r="E43" s="12">
        <f t="shared" si="27"/>
        <v>53.333300418081251</v>
      </c>
      <c r="F43" s="52">
        <f t="shared" si="60"/>
        <v>3333.3333333337005</v>
      </c>
      <c r="G43" s="53">
        <v>0.99970000000000003</v>
      </c>
      <c r="H43" s="51">
        <f t="shared" si="2"/>
        <v>251.28409690066289</v>
      </c>
      <c r="I43" s="51">
        <f t="shared" si="3"/>
        <v>8.1115780645548075</v>
      </c>
      <c r="J43" s="51">
        <f t="shared" si="29"/>
        <v>156.19209711390306</v>
      </c>
      <c r="K43" s="51">
        <f t="shared" si="30"/>
        <v>346.37609668742272</v>
      </c>
      <c r="L43" s="51">
        <f t="shared" si="31"/>
        <v>48.516326421816238</v>
      </c>
      <c r="N43" s="9" t="e">
        <f t="shared" si="4"/>
        <v>#N/A</v>
      </c>
      <c r="O43" s="10"/>
      <c r="P43" s="11"/>
      <c r="Q43" s="32"/>
      <c r="R43" s="12">
        <f t="shared" si="33"/>
        <v>55.441590793518081</v>
      </c>
      <c r="S43" s="52">
        <f t="shared" si="66"/>
        <v>3333.3333333337005</v>
      </c>
      <c r="T43" s="53">
        <v>0.99970000000000003</v>
      </c>
      <c r="U43" s="51">
        <f t="shared" si="6"/>
        <v>320.13656658050502</v>
      </c>
      <c r="V43" s="51">
        <f t="shared" si="7"/>
        <v>8.1115780645548075</v>
      </c>
      <c r="W43" s="51">
        <f t="shared" si="35"/>
        <v>192.98186435980756</v>
      </c>
      <c r="X43" s="51">
        <f t="shared" si="36"/>
        <v>447.29126880120248</v>
      </c>
      <c r="Y43" s="51">
        <f t="shared" si="37"/>
        <v>64.874848071784427</v>
      </c>
      <c r="AA43" s="9"/>
      <c r="AB43" s="10"/>
      <c r="AC43" s="11"/>
      <c r="AD43" s="32"/>
      <c r="AE43" s="12">
        <f t="shared" si="39"/>
        <v>55.127024234462382</v>
      </c>
      <c r="AF43" s="52">
        <f t="shared" si="67"/>
        <v>3333.3333333337005</v>
      </c>
      <c r="AG43" s="53">
        <v>0.99970000000000003</v>
      </c>
      <c r="AH43" s="51">
        <f t="shared" si="10"/>
        <v>265.3531482788382</v>
      </c>
      <c r="AI43" s="51">
        <f t="shared" si="11"/>
        <v>8.1115780645548075</v>
      </c>
      <c r="AJ43" s="51">
        <f t="shared" si="41"/>
        <v>164.36430207049176</v>
      </c>
      <c r="AK43" s="51">
        <f t="shared" si="42"/>
        <v>366.34199448718465</v>
      </c>
      <c r="AL43" s="51">
        <f t="shared" si="43"/>
        <v>51.524921534870636</v>
      </c>
      <c r="AN43" s="9"/>
      <c r="AO43" s="10"/>
      <c r="AP43" s="11"/>
      <c r="AR43" s="12">
        <f t="shared" si="45"/>
        <v>56.648108901150771</v>
      </c>
      <c r="AS43" s="52">
        <f t="shared" si="68"/>
        <v>3333.3333333337005</v>
      </c>
      <c r="AT43" s="53">
        <v>0.99970000000000003</v>
      </c>
      <c r="AU43" s="51">
        <f t="shared" si="14"/>
        <v>331.9418798502611</v>
      </c>
      <c r="AV43" s="51">
        <f t="shared" si="15"/>
        <v>8.1115780645548075</v>
      </c>
      <c r="AW43" s="51">
        <f t="shared" si="47"/>
        <v>199.6957071974897</v>
      </c>
      <c r="AX43" s="51">
        <f t="shared" si="48"/>
        <v>464.18805250303251</v>
      </c>
      <c r="AY43" s="51">
        <f t="shared" si="49"/>
        <v>67.472537067740518</v>
      </c>
      <c r="BA43" s="9"/>
      <c r="BB43" s="10"/>
      <c r="BC43" s="11"/>
      <c r="BD43" s="32"/>
      <c r="BE43" s="12">
        <f t="shared" si="18"/>
        <v>58.82304059067468</v>
      </c>
      <c r="BF43" s="52">
        <f t="shared" si="69"/>
        <v>3333.3333333337005</v>
      </c>
      <c r="BG43" s="53">
        <v>0.99970000000000003</v>
      </c>
      <c r="BH43" s="51">
        <f t="shared" si="19"/>
        <v>318.60020928911422</v>
      </c>
      <c r="BI43" s="51">
        <f t="shared" si="20"/>
        <v>8.1115780645548075</v>
      </c>
      <c r="BJ43" s="51">
        <f t="shared" si="52"/>
        <v>193.80793307995657</v>
      </c>
      <c r="BK43" s="51">
        <f t="shared" si="53"/>
        <v>443.39248549827187</v>
      </c>
      <c r="BL43" s="51">
        <f t="shared" si="54"/>
        <v>63.669528678141667</v>
      </c>
      <c r="BN43" s="9"/>
      <c r="BO43" s="10"/>
      <c r="BP43" s="11"/>
      <c r="BQ43" s="32"/>
      <c r="BR43" s="12">
        <f t="shared" si="23"/>
        <v>56.796568775721767</v>
      </c>
      <c r="BS43" s="52">
        <f t="shared" si="70"/>
        <v>3333.3333333337005</v>
      </c>
      <c r="BT43" s="53">
        <v>0.99970000000000003</v>
      </c>
      <c r="BU43" s="51">
        <f t="shared" si="24"/>
        <v>329.4581200323762</v>
      </c>
      <c r="BV43" s="51">
        <f t="shared" si="25"/>
        <v>8.1115780645548075</v>
      </c>
      <c r="BW43" s="51">
        <f t="shared" si="57"/>
        <v>198.47641834350793</v>
      </c>
      <c r="BX43" s="51">
        <f t="shared" si="58"/>
        <v>460.43982172124447</v>
      </c>
      <c r="BY43" s="51">
        <f t="shared" si="59"/>
        <v>66.827398820851158</v>
      </c>
    </row>
    <row r="44" spans="1:77" x14ac:dyDescent="0.3">
      <c r="A44" s="9" t="e">
        <f t="shared" ref="A44:A75" si="71">RANK(D44,D$12:D$970,1)</f>
        <v>#N/A</v>
      </c>
      <c r="B44" s="10"/>
      <c r="C44" s="11"/>
      <c r="E44" s="12">
        <f t="shared" si="27"/>
        <v>53.333300418081251</v>
      </c>
      <c r="F44" s="52">
        <f t="shared" si="60"/>
        <v>5000.0000000005502</v>
      </c>
      <c r="G44" s="53">
        <v>0.99980000000000002</v>
      </c>
      <c r="H44" s="51">
        <f t="shared" si="2"/>
        <v>261.18008015562953</v>
      </c>
      <c r="I44" s="51">
        <f t="shared" si="3"/>
        <v>8.5170931830820145</v>
      </c>
      <c r="J44" s="51">
        <f t="shared" si="29"/>
        <v>161.45566340121067</v>
      </c>
      <c r="K44" s="51">
        <f t="shared" si="30"/>
        <v>360.90449691004835</v>
      </c>
      <c r="L44" s="51">
        <f t="shared" si="31"/>
        <v>50.879804466540236</v>
      </c>
      <c r="N44" s="9" t="e">
        <f t="shared" ref="N44:N75" si="72">RANK(Q44,Q$12:Q$970,1)</f>
        <v>#N/A</v>
      </c>
      <c r="O44" s="10"/>
      <c r="P44" s="11"/>
      <c r="Q44" s="32"/>
      <c r="R44" s="12">
        <f t="shared" si="33"/>
        <v>55.441590793518081</v>
      </c>
      <c r="S44" s="52">
        <f t="shared" si="66"/>
        <v>5000.0000000005502</v>
      </c>
      <c r="T44" s="53">
        <v>0.99980000000000002</v>
      </c>
      <c r="U44" s="51">
        <f t="shared" si="6"/>
        <v>333.3692339635449</v>
      </c>
      <c r="V44" s="51">
        <f t="shared" si="7"/>
        <v>8.5170931830820145</v>
      </c>
      <c r="W44" s="51">
        <f t="shared" si="35"/>
        <v>200.02017678758645</v>
      </c>
      <c r="X44" s="51">
        <f t="shared" si="36"/>
        <v>466.71829113950332</v>
      </c>
      <c r="Y44" s="51">
        <f t="shared" si="37"/>
        <v>68.035233253040033</v>
      </c>
      <c r="AA44" s="9"/>
      <c r="AB44" s="10"/>
      <c r="AC44" s="11"/>
      <c r="AD44" s="32"/>
      <c r="AE44" s="12">
        <f t="shared" si="39"/>
        <v>55.127024234462382</v>
      </c>
      <c r="AF44" s="52">
        <f t="shared" si="67"/>
        <v>5000.0000000005502</v>
      </c>
      <c r="AG44" s="53">
        <v>0.99980000000000002</v>
      </c>
      <c r="AH44" s="51">
        <f t="shared" si="10"/>
        <v>275.86280138590587</v>
      </c>
      <c r="AI44" s="51">
        <f t="shared" si="11"/>
        <v>8.5170931830820145</v>
      </c>
      <c r="AJ44" s="51">
        <f t="shared" si="41"/>
        <v>169.95427270407134</v>
      </c>
      <c r="AK44" s="51">
        <f t="shared" si="42"/>
        <v>381.77133006774039</v>
      </c>
      <c r="AL44" s="51">
        <f t="shared" si="43"/>
        <v>54.034963613180878</v>
      </c>
      <c r="AN44" s="9"/>
      <c r="AO44" s="10"/>
      <c r="AP44" s="11"/>
      <c r="AR44" s="12">
        <f t="shared" si="45"/>
        <v>56.648108901150771</v>
      </c>
      <c r="AS44" s="52">
        <f t="shared" si="68"/>
        <v>5000.0000000005502</v>
      </c>
      <c r="AT44" s="53">
        <v>0.99980000000000002</v>
      </c>
      <c r="AU44" s="51">
        <f t="shared" si="14"/>
        <v>345.70440364868762</v>
      </c>
      <c r="AV44" s="51">
        <f t="shared" si="15"/>
        <v>8.5170931830820145</v>
      </c>
      <c r="AW44" s="51">
        <f t="shared" si="47"/>
        <v>207.01584451252705</v>
      </c>
      <c r="AX44" s="51">
        <f t="shared" si="48"/>
        <v>484.39296278484818</v>
      </c>
      <c r="AY44" s="51">
        <f t="shared" si="49"/>
        <v>70.759468947020693</v>
      </c>
      <c r="BA44" s="9"/>
      <c r="BB44" s="10"/>
      <c r="BC44" s="11"/>
      <c r="BD44" s="32"/>
      <c r="BE44" s="12">
        <f t="shared" ref="BE44:BE75" si="73">BD$5+BC44*BD$4</f>
        <v>58.82304059067468</v>
      </c>
      <c r="BF44" s="52">
        <f t="shared" si="69"/>
        <v>5000.0000000005502</v>
      </c>
      <c r="BG44" s="53">
        <v>0.99980000000000002</v>
      </c>
      <c r="BH44" s="51">
        <f t="shared" si="19"/>
        <v>331.58702498848231</v>
      </c>
      <c r="BI44" s="51">
        <f t="shared" si="20"/>
        <v>8.5170931830820145</v>
      </c>
      <c r="BJ44" s="51">
        <f t="shared" si="52"/>
        <v>200.71547966057187</v>
      </c>
      <c r="BK44" s="51">
        <f t="shared" si="53"/>
        <v>462.45857031639275</v>
      </c>
      <c r="BL44" s="51">
        <f t="shared" si="54"/>
        <v>66.771196595872681</v>
      </c>
      <c r="BN44" s="9"/>
      <c r="BO44" s="10"/>
      <c r="BP44" s="11"/>
      <c r="BQ44" s="32"/>
      <c r="BR44" s="12">
        <f t="shared" ref="BR44:BR75" si="74">BQ$5+BP44*BQ$4</f>
        <v>56.796568775721767</v>
      </c>
      <c r="BS44" s="52">
        <f t="shared" si="70"/>
        <v>5000.0000000005502</v>
      </c>
      <c r="BT44" s="53">
        <v>0.99980000000000002</v>
      </c>
      <c r="BU44" s="51">
        <f t="shared" si="24"/>
        <v>343.08905354441441</v>
      </c>
      <c r="BV44" s="51">
        <f t="shared" si="25"/>
        <v>8.5170931830820145</v>
      </c>
      <c r="BW44" s="51">
        <f t="shared" si="57"/>
        <v>205.7265642107705</v>
      </c>
      <c r="BX44" s="51">
        <f t="shared" si="58"/>
        <v>480.45154287805832</v>
      </c>
      <c r="BY44" s="51">
        <f t="shared" si="59"/>
        <v>70.082902721246896</v>
      </c>
    </row>
    <row r="45" spans="1:77" x14ac:dyDescent="0.3">
      <c r="A45" s="9" t="e">
        <f t="shared" si="71"/>
        <v>#N/A</v>
      </c>
      <c r="B45" s="10"/>
      <c r="C45" s="11"/>
      <c r="E45" s="12">
        <f t="shared" si="27"/>
        <v>53.333300418081251</v>
      </c>
      <c r="F45" s="52">
        <f>1/(1-G45)</f>
        <v>10000.0000000011</v>
      </c>
      <c r="G45" s="53">
        <v>0.99990000000000001</v>
      </c>
      <c r="H45" s="51">
        <f t="shared" si="2"/>
        <v>278.09650925939332</v>
      </c>
      <c r="I45" s="51">
        <f t="shared" si="3"/>
        <v>9.2102903698928351</v>
      </c>
      <c r="J45" s="51">
        <f t="shared" si="29"/>
        <v>170.44643109563711</v>
      </c>
      <c r="K45" s="51">
        <f t="shared" si="30"/>
        <v>385.74658742314955</v>
      </c>
      <c r="L45" s="51">
        <f t="shared" si="31"/>
        <v>54.923509267222556</v>
      </c>
      <c r="N45" s="9" t="e">
        <f t="shared" si="72"/>
        <v>#N/A</v>
      </c>
      <c r="O45" s="10"/>
      <c r="P45" s="11"/>
      <c r="Q45" s="32"/>
      <c r="R45" s="12">
        <f t="shared" si="33"/>
        <v>55.441590793518081</v>
      </c>
      <c r="S45" s="52">
        <f>1/(1-T45)</f>
        <v>10000.0000000011</v>
      </c>
      <c r="T45" s="53">
        <v>0.99990000000000001</v>
      </c>
      <c r="U45" s="51">
        <f t="shared" si="6"/>
        <v>355.98947026260441</v>
      </c>
      <c r="V45" s="51">
        <f t="shared" si="7"/>
        <v>9.2102903698928351</v>
      </c>
      <c r="W45" s="51">
        <f t="shared" si="35"/>
        <v>212.04241200699377</v>
      </c>
      <c r="X45" s="51">
        <f t="shared" si="36"/>
        <v>499.93652851821503</v>
      </c>
      <c r="Y45" s="51">
        <f t="shared" si="37"/>
        <v>73.442376661025833</v>
      </c>
      <c r="AA45" s="9"/>
      <c r="AB45" s="10"/>
      <c r="AC45" s="11"/>
      <c r="AD45" s="32"/>
      <c r="AE45" s="12">
        <f t="shared" si="39"/>
        <v>55.127024234462382</v>
      </c>
      <c r="AF45" s="52">
        <f>1/(1-AG45)</f>
        <v>10000.0000000011</v>
      </c>
      <c r="AG45" s="53">
        <v>0.99990000000000001</v>
      </c>
      <c r="AH45" s="51">
        <f t="shared" si="10"/>
        <v>293.82825232799723</v>
      </c>
      <c r="AI45" s="51">
        <f t="shared" si="11"/>
        <v>9.2102903698928351</v>
      </c>
      <c r="AJ45" s="51">
        <f t="shared" si="41"/>
        <v>179.50257601059013</v>
      </c>
      <c r="AK45" s="51">
        <f t="shared" si="42"/>
        <v>408.15392864540433</v>
      </c>
      <c r="AL45" s="51">
        <f t="shared" si="43"/>
        <v>58.329426692554648</v>
      </c>
      <c r="AN45" s="9"/>
      <c r="AO45" s="10"/>
      <c r="AP45" s="11"/>
      <c r="AR45" s="12">
        <f t="shared" si="45"/>
        <v>56.648108901150771</v>
      </c>
      <c r="AS45" s="52">
        <f>1/(1-AT45)</f>
        <v>10000.0000000011</v>
      </c>
      <c r="AT45" s="53">
        <v>0.99990000000000001</v>
      </c>
      <c r="AU45" s="51">
        <f t="shared" si="14"/>
        <v>369.23038910426118</v>
      </c>
      <c r="AV45" s="51">
        <f t="shared" si="15"/>
        <v>9.2102903698928351</v>
      </c>
      <c r="AW45" s="51">
        <f t="shared" si="47"/>
        <v>219.5194685762165</v>
      </c>
      <c r="AX45" s="51">
        <f t="shared" si="48"/>
        <v>518.94130963230589</v>
      </c>
      <c r="AY45" s="51">
        <f t="shared" si="49"/>
        <v>76.38312271839014</v>
      </c>
      <c r="BA45" s="9"/>
      <c r="BB45" s="10"/>
      <c r="BC45" s="11"/>
      <c r="BD45" s="32"/>
      <c r="BE45" s="12">
        <f t="shared" si="73"/>
        <v>58.82304059067468</v>
      </c>
      <c r="BF45" s="52">
        <f>1/(1-BG45)</f>
        <v>10000.0000000011</v>
      </c>
      <c r="BG45" s="53">
        <v>0.99990000000000001</v>
      </c>
      <c r="BH45" s="51">
        <f t="shared" si="19"/>
        <v>353.78699657308931</v>
      </c>
      <c r="BI45" s="51">
        <f t="shared" si="20"/>
        <v>9.2102903698928351</v>
      </c>
      <c r="BJ45" s="51">
        <f t="shared" si="52"/>
        <v>212.51435199442989</v>
      </c>
      <c r="BK45" s="51">
        <f t="shared" si="53"/>
        <v>495.05964115174874</v>
      </c>
      <c r="BL45" s="51">
        <f t="shared" si="54"/>
        <v>72.077879887071134</v>
      </c>
      <c r="BN45" s="9"/>
      <c r="BO45" s="10"/>
      <c r="BP45" s="11"/>
      <c r="BQ45" s="32"/>
      <c r="BR45" s="12">
        <f t="shared" si="74"/>
        <v>56.796568775721767</v>
      </c>
      <c r="BS45" s="52">
        <f>1/(1-BT45)</f>
        <v>10000.0000000011</v>
      </c>
      <c r="BT45" s="53">
        <v>0.99990000000000001</v>
      </c>
      <c r="BU45" s="51">
        <f t="shared" si="24"/>
        <v>366.39009543520223</v>
      </c>
      <c r="BV45" s="51">
        <f t="shared" si="25"/>
        <v>9.2102903698928351</v>
      </c>
      <c r="BW45" s="51">
        <f t="shared" si="57"/>
        <v>218.11063495011825</v>
      </c>
      <c r="BX45" s="51">
        <f t="shared" si="58"/>
        <v>514.66955592028626</v>
      </c>
      <c r="BY45" s="51">
        <f t="shared" si="59"/>
        <v>75.652785961777539</v>
      </c>
    </row>
    <row r="46" spans="1:77" x14ac:dyDescent="0.3">
      <c r="A46" s="9" t="e">
        <f t="shared" si="71"/>
        <v>#N/A</v>
      </c>
      <c r="B46" s="10"/>
      <c r="C46" s="11"/>
      <c r="E46" s="12">
        <f t="shared" si="27"/>
        <v>53.333300418081251</v>
      </c>
      <c r="N46" s="9" t="e">
        <f t="shared" si="72"/>
        <v>#N/A</v>
      </c>
      <c r="O46" s="10"/>
      <c r="P46" s="11"/>
      <c r="Q46" s="32"/>
      <c r="R46" s="12">
        <f t="shared" si="33"/>
        <v>55.441590793518081</v>
      </c>
      <c r="AA46" s="9"/>
      <c r="AB46" s="10"/>
      <c r="AC46" s="11"/>
      <c r="AD46" s="32"/>
      <c r="AE46" s="12">
        <f t="shared" si="39"/>
        <v>55.127024234462382</v>
      </c>
      <c r="AN46" s="9"/>
      <c r="AO46" s="10"/>
      <c r="AP46" s="11"/>
      <c r="AR46" s="12">
        <f t="shared" si="45"/>
        <v>56.648108901150771</v>
      </c>
      <c r="BA46" s="9"/>
      <c r="BB46" s="10"/>
      <c r="BC46" s="11"/>
      <c r="BD46" s="32"/>
      <c r="BE46" s="12">
        <f t="shared" si="73"/>
        <v>58.82304059067468</v>
      </c>
      <c r="BN46" s="9"/>
      <c r="BO46" s="10"/>
      <c r="BP46" s="11"/>
      <c r="BQ46" s="32"/>
      <c r="BR46" s="12">
        <f t="shared" si="74"/>
        <v>56.796568775721767</v>
      </c>
    </row>
    <row r="47" spans="1:77" x14ac:dyDescent="0.3">
      <c r="A47" s="9" t="e">
        <f t="shared" si="71"/>
        <v>#N/A</v>
      </c>
      <c r="B47" s="10"/>
      <c r="C47" s="11"/>
      <c r="E47" s="12">
        <f t="shared" si="27"/>
        <v>53.333300418081251</v>
      </c>
      <c r="N47" s="9" t="e">
        <f t="shared" si="72"/>
        <v>#N/A</v>
      </c>
      <c r="O47" s="10"/>
      <c r="P47" s="11"/>
      <c r="Q47" s="32"/>
      <c r="R47" s="12">
        <f t="shared" si="33"/>
        <v>55.441590793518081</v>
      </c>
      <c r="AA47" s="9"/>
      <c r="AB47" s="10"/>
      <c r="AC47" s="11"/>
      <c r="AD47" s="32"/>
      <c r="AE47" s="12">
        <f t="shared" si="39"/>
        <v>55.127024234462382</v>
      </c>
      <c r="AN47" s="9"/>
      <c r="AO47" s="10"/>
      <c r="AP47" s="11"/>
      <c r="AR47" s="12">
        <f t="shared" si="45"/>
        <v>56.648108901150771</v>
      </c>
      <c r="BA47" s="9"/>
      <c r="BB47" s="10"/>
      <c r="BC47" s="11"/>
      <c r="BD47" s="32"/>
      <c r="BE47" s="12">
        <f t="shared" si="73"/>
        <v>58.82304059067468</v>
      </c>
      <c r="BN47" s="9"/>
      <c r="BO47" s="10"/>
      <c r="BP47" s="11"/>
      <c r="BQ47" s="32"/>
      <c r="BR47" s="12">
        <f t="shared" si="74"/>
        <v>56.796568775721767</v>
      </c>
    </row>
    <row r="48" spans="1:77" x14ac:dyDescent="0.3">
      <c r="A48" s="9" t="e">
        <f t="shared" si="71"/>
        <v>#N/A</v>
      </c>
      <c r="B48" s="10"/>
      <c r="C48" s="11"/>
      <c r="E48" s="12">
        <f t="shared" si="27"/>
        <v>53.333300418081251</v>
      </c>
      <c r="N48" s="9" t="e">
        <f t="shared" si="72"/>
        <v>#N/A</v>
      </c>
      <c r="O48" s="10"/>
      <c r="P48" s="11"/>
      <c r="Q48" s="32"/>
      <c r="R48" s="12">
        <f t="shared" si="33"/>
        <v>55.441590793518081</v>
      </c>
      <c r="AA48" s="9"/>
      <c r="AB48" s="10"/>
      <c r="AC48" s="11"/>
      <c r="AD48" s="32"/>
      <c r="AE48" s="12">
        <f t="shared" si="39"/>
        <v>55.127024234462382</v>
      </c>
      <c r="AN48" s="9"/>
      <c r="AO48" s="10"/>
      <c r="AP48" s="11"/>
      <c r="AR48" s="12">
        <f t="shared" si="45"/>
        <v>56.648108901150771</v>
      </c>
      <c r="BA48" s="9"/>
      <c r="BB48" s="10"/>
      <c r="BC48" s="11"/>
      <c r="BD48" s="32"/>
      <c r="BE48" s="12">
        <f t="shared" si="73"/>
        <v>58.82304059067468</v>
      </c>
      <c r="BN48" s="9"/>
      <c r="BO48" s="10"/>
      <c r="BP48" s="11"/>
      <c r="BQ48" s="32"/>
      <c r="BR48" s="12">
        <f t="shared" si="74"/>
        <v>56.796568775721767</v>
      </c>
    </row>
    <row r="49" spans="1:70" x14ac:dyDescent="0.3">
      <c r="A49" s="9" t="e">
        <f t="shared" si="71"/>
        <v>#N/A</v>
      </c>
      <c r="B49" s="10"/>
      <c r="C49" s="11"/>
      <c r="E49" s="12">
        <f t="shared" si="27"/>
        <v>53.333300418081251</v>
      </c>
      <c r="N49" s="9" t="e">
        <f t="shared" si="72"/>
        <v>#N/A</v>
      </c>
      <c r="O49" s="10"/>
      <c r="P49" s="11"/>
      <c r="Q49" s="32"/>
      <c r="R49" s="12">
        <f t="shared" si="33"/>
        <v>55.441590793518081</v>
      </c>
      <c r="AA49" s="9"/>
      <c r="AB49" s="10"/>
      <c r="AC49" s="11"/>
      <c r="AD49" s="32"/>
      <c r="AE49" s="12">
        <f t="shared" si="39"/>
        <v>55.127024234462382</v>
      </c>
      <c r="AN49" s="9"/>
      <c r="AO49" s="10"/>
      <c r="AP49" s="11"/>
      <c r="AR49" s="12">
        <f t="shared" si="45"/>
        <v>56.648108901150771</v>
      </c>
      <c r="BA49" s="9"/>
      <c r="BB49" s="10"/>
      <c r="BC49" s="11"/>
      <c r="BD49" s="32"/>
      <c r="BE49" s="12">
        <f t="shared" si="73"/>
        <v>58.82304059067468</v>
      </c>
      <c r="BN49" s="9"/>
      <c r="BO49" s="10"/>
      <c r="BP49" s="11"/>
      <c r="BQ49" s="32"/>
      <c r="BR49" s="12">
        <f t="shared" si="74"/>
        <v>56.796568775721767</v>
      </c>
    </row>
    <row r="50" spans="1:70" x14ac:dyDescent="0.3">
      <c r="A50" s="9" t="e">
        <f t="shared" si="71"/>
        <v>#N/A</v>
      </c>
      <c r="B50" s="10"/>
      <c r="C50" s="11"/>
      <c r="E50" s="12">
        <f t="shared" si="27"/>
        <v>53.333300418081251</v>
      </c>
      <c r="N50" s="9" t="e">
        <f t="shared" si="72"/>
        <v>#N/A</v>
      </c>
      <c r="O50" s="10"/>
      <c r="P50" s="11"/>
      <c r="Q50" s="32"/>
      <c r="R50" s="12">
        <f t="shared" si="33"/>
        <v>55.441590793518081</v>
      </c>
      <c r="AA50" s="9"/>
      <c r="AB50" s="10"/>
      <c r="AC50" s="11"/>
      <c r="AD50" s="32"/>
      <c r="AE50" s="12">
        <f t="shared" si="39"/>
        <v>55.127024234462382</v>
      </c>
      <c r="AN50" s="9"/>
      <c r="AO50" s="10"/>
      <c r="AP50" s="11"/>
      <c r="AR50" s="12">
        <f t="shared" si="45"/>
        <v>56.648108901150771</v>
      </c>
      <c r="BA50" s="9"/>
      <c r="BB50" s="10"/>
      <c r="BC50" s="11"/>
      <c r="BD50" s="32"/>
      <c r="BE50" s="12">
        <f t="shared" si="73"/>
        <v>58.82304059067468</v>
      </c>
      <c r="BN50" s="9"/>
      <c r="BO50" s="10"/>
      <c r="BP50" s="11"/>
      <c r="BQ50" s="32"/>
      <c r="BR50" s="12">
        <f t="shared" si="74"/>
        <v>56.796568775721767</v>
      </c>
    </row>
    <row r="51" spans="1:70" x14ac:dyDescent="0.3">
      <c r="A51" s="9" t="e">
        <f t="shared" si="71"/>
        <v>#N/A</v>
      </c>
      <c r="B51" s="10"/>
      <c r="C51" s="11"/>
      <c r="E51" s="12">
        <f t="shared" si="27"/>
        <v>53.333300418081251</v>
      </c>
      <c r="N51" s="9" t="e">
        <f t="shared" si="72"/>
        <v>#N/A</v>
      </c>
      <c r="O51" s="10"/>
      <c r="P51" s="11"/>
      <c r="Q51" s="32"/>
      <c r="R51" s="12">
        <f t="shared" si="33"/>
        <v>55.441590793518081</v>
      </c>
      <c r="AA51" s="9"/>
      <c r="AB51" s="10"/>
      <c r="AC51" s="11"/>
      <c r="AD51" s="32"/>
      <c r="AE51" s="12">
        <f t="shared" si="39"/>
        <v>55.127024234462382</v>
      </c>
      <c r="AN51" s="9"/>
      <c r="AO51" s="10"/>
      <c r="AP51" s="11"/>
      <c r="AR51" s="12">
        <f t="shared" si="45"/>
        <v>56.648108901150771</v>
      </c>
      <c r="BA51" s="9"/>
      <c r="BB51" s="10"/>
      <c r="BC51" s="11"/>
      <c r="BD51" s="32"/>
      <c r="BE51" s="12">
        <f t="shared" si="73"/>
        <v>58.82304059067468</v>
      </c>
      <c r="BN51" s="9"/>
      <c r="BO51" s="10"/>
      <c r="BP51" s="11"/>
      <c r="BQ51" s="32"/>
      <c r="BR51" s="12">
        <f t="shared" si="74"/>
        <v>56.796568775721767</v>
      </c>
    </row>
    <row r="52" spans="1:70" x14ac:dyDescent="0.3">
      <c r="A52" s="9" t="e">
        <f t="shared" si="71"/>
        <v>#N/A</v>
      </c>
      <c r="B52" s="10"/>
      <c r="C52" s="11"/>
      <c r="E52" s="12">
        <f t="shared" si="27"/>
        <v>53.333300418081251</v>
      </c>
      <c r="N52" s="9" t="e">
        <f t="shared" si="72"/>
        <v>#N/A</v>
      </c>
      <c r="O52" s="10"/>
      <c r="P52" s="11"/>
      <c r="Q52" s="32"/>
      <c r="R52" s="12">
        <f t="shared" si="33"/>
        <v>55.441590793518081</v>
      </c>
      <c r="AA52" s="9"/>
      <c r="AB52" s="10"/>
      <c r="AC52" s="11"/>
      <c r="AD52" s="32"/>
      <c r="AE52" s="12">
        <f t="shared" si="39"/>
        <v>55.127024234462382</v>
      </c>
      <c r="AN52" s="9"/>
      <c r="AO52" s="10"/>
      <c r="AP52" s="11"/>
      <c r="AR52" s="12">
        <f t="shared" si="45"/>
        <v>56.648108901150771</v>
      </c>
      <c r="BA52" s="9"/>
      <c r="BB52" s="10"/>
      <c r="BC52" s="11"/>
      <c r="BD52" s="32"/>
      <c r="BE52" s="12">
        <f t="shared" si="73"/>
        <v>58.82304059067468</v>
      </c>
      <c r="BN52" s="9"/>
      <c r="BO52" s="10"/>
      <c r="BP52" s="11"/>
      <c r="BQ52" s="32"/>
      <c r="BR52" s="12">
        <f t="shared" si="74"/>
        <v>56.796568775721767</v>
      </c>
    </row>
    <row r="53" spans="1:70" x14ac:dyDescent="0.3">
      <c r="A53" s="9" t="e">
        <f t="shared" si="71"/>
        <v>#N/A</v>
      </c>
      <c r="B53" s="10"/>
      <c r="C53" s="11"/>
      <c r="E53" s="12">
        <f t="shared" si="27"/>
        <v>53.333300418081251</v>
      </c>
      <c r="N53" s="9" t="e">
        <f t="shared" si="72"/>
        <v>#N/A</v>
      </c>
      <c r="O53" s="10"/>
      <c r="P53" s="11"/>
      <c r="Q53" s="32"/>
      <c r="R53" s="12">
        <f t="shared" si="33"/>
        <v>55.441590793518081</v>
      </c>
      <c r="AA53" s="9"/>
      <c r="AB53" s="10"/>
      <c r="AC53" s="11"/>
      <c r="AD53" s="32"/>
      <c r="AE53" s="12">
        <f t="shared" si="39"/>
        <v>55.127024234462382</v>
      </c>
      <c r="AN53" s="9"/>
      <c r="AO53" s="10"/>
      <c r="AP53" s="11"/>
      <c r="AR53" s="12">
        <f t="shared" si="45"/>
        <v>56.648108901150771</v>
      </c>
      <c r="BA53" s="9"/>
      <c r="BB53" s="10"/>
      <c r="BC53" s="11"/>
      <c r="BD53" s="32"/>
      <c r="BE53" s="12">
        <f t="shared" si="73"/>
        <v>58.82304059067468</v>
      </c>
      <c r="BN53" s="9"/>
      <c r="BO53" s="10"/>
      <c r="BP53" s="11"/>
      <c r="BQ53" s="32"/>
      <c r="BR53" s="12">
        <f t="shared" si="74"/>
        <v>56.796568775721767</v>
      </c>
    </row>
    <row r="54" spans="1:70" x14ac:dyDescent="0.3">
      <c r="A54" s="9" t="e">
        <f t="shared" si="71"/>
        <v>#N/A</v>
      </c>
      <c r="B54" s="10"/>
      <c r="C54" s="11"/>
      <c r="E54" s="12">
        <f t="shared" si="27"/>
        <v>53.333300418081251</v>
      </c>
      <c r="N54" s="9" t="e">
        <f t="shared" si="72"/>
        <v>#N/A</v>
      </c>
      <c r="O54" s="10"/>
      <c r="P54" s="11"/>
      <c r="Q54" s="32"/>
      <c r="R54" s="12">
        <f t="shared" si="33"/>
        <v>55.441590793518081</v>
      </c>
      <c r="AA54" s="9"/>
      <c r="AB54" s="10"/>
      <c r="AC54" s="11"/>
      <c r="AD54" s="32"/>
      <c r="AE54" s="12">
        <f t="shared" si="39"/>
        <v>55.127024234462382</v>
      </c>
      <c r="AN54" s="9"/>
      <c r="AO54" s="10"/>
      <c r="AP54" s="11"/>
      <c r="AR54" s="12">
        <f t="shared" si="45"/>
        <v>56.648108901150771</v>
      </c>
      <c r="BA54" s="9"/>
      <c r="BB54" s="10"/>
      <c r="BC54" s="11"/>
      <c r="BD54" s="32"/>
      <c r="BE54" s="12">
        <f t="shared" si="73"/>
        <v>58.82304059067468</v>
      </c>
      <c r="BN54" s="9"/>
      <c r="BO54" s="10"/>
      <c r="BP54" s="11"/>
      <c r="BQ54" s="32"/>
      <c r="BR54" s="12">
        <f t="shared" si="74"/>
        <v>56.796568775721767</v>
      </c>
    </row>
    <row r="55" spans="1:70" x14ac:dyDescent="0.3">
      <c r="A55" s="9" t="e">
        <f t="shared" si="71"/>
        <v>#N/A</v>
      </c>
      <c r="B55" s="10"/>
      <c r="C55" s="11"/>
      <c r="E55" s="12">
        <f t="shared" si="27"/>
        <v>53.333300418081251</v>
      </c>
      <c r="N55" s="9" t="e">
        <f t="shared" si="72"/>
        <v>#N/A</v>
      </c>
      <c r="O55" s="10"/>
      <c r="P55" s="11"/>
      <c r="Q55" s="32"/>
      <c r="R55" s="12">
        <f t="shared" si="33"/>
        <v>55.441590793518081</v>
      </c>
      <c r="AA55" s="9"/>
      <c r="AB55" s="10"/>
      <c r="AC55" s="11"/>
      <c r="AD55" s="32"/>
      <c r="AE55" s="12">
        <f t="shared" si="39"/>
        <v>55.127024234462382</v>
      </c>
      <c r="AN55" s="9"/>
      <c r="AO55" s="10"/>
      <c r="AP55" s="11"/>
      <c r="AR55" s="12">
        <f t="shared" si="45"/>
        <v>56.648108901150771</v>
      </c>
      <c r="BA55" s="9"/>
      <c r="BB55" s="10"/>
      <c r="BC55" s="11"/>
      <c r="BD55" s="32"/>
      <c r="BE55" s="12">
        <f t="shared" si="73"/>
        <v>58.82304059067468</v>
      </c>
      <c r="BN55" s="9"/>
      <c r="BO55" s="10"/>
      <c r="BP55" s="11"/>
      <c r="BQ55" s="32"/>
      <c r="BR55" s="12">
        <f t="shared" si="74"/>
        <v>56.796568775721767</v>
      </c>
    </row>
    <row r="56" spans="1:70" x14ac:dyDescent="0.3">
      <c r="A56" s="9" t="e">
        <f t="shared" si="71"/>
        <v>#N/A</v>
      </c>
      <c r="B56" s="10"/>
      <c r="C56" s="11"/>
      <c r="E56" s="12">
        <f t="shared" si="27"/>
        <v>53.333300418081251</v>
      </c>
      <c r="N56" s="9" t="e">
        <f t="shared" si="72"/>
        <v>#N/A</v>
      </c>
      <c r="O56" s="10"/>
      <c r="P56" s="11"/>
      <c r="Q56" s="32"/>
      <c r="R56" s="12">
        <f t="shared" si="33"/>
        <v>55.441590793518081</v>
      </c>
      <c r="AA56" s="9"/>
      <c r="AB56" s="10"/>
      <c r="AC56" s="11"/>
      <c r="AD56" s="32"/>
      <c r="AE56" s="12">
        <f t="shared" si="39"/>
        <v>55.127024234462382</v>
      </c>
      <c r="AN56" s="9"/>
      <c r="AO56" s="10"/>
      <c r="AP56" s="11"/>
      <c r="AR56" s="12">
        <f t="shared" si="45"/>
        <v>56.648108901150771</v>
      </c>
      <c r="BA56" s="9"/>
      <c r="BB56" s="10"/>
      <c r="BC56" s="11"/>
      <c r="BD56" s="32"/>
      <c r="BE56" s="12">
        <f t="shared" si="73"/>
        <v>58.82304059067468</v>
      </c>
      <c r="BN56" s="9"/>
      <c r="BO56" s="10"/>
      <c r="BP56" s="11"/>
      <c r="BQ56" s="32"/>
      <c r="BR56" s="12">
        <f t="shared" si="74"/>
        <v>56.796568775721767</v>
      </c>
    </row>
    <row r="57" spans="1:70" x14ac:dyDescent="0.3">
      <c r="A57" s="9" t="e">
        <f t="shared" si="71"/>
        <v>#N/A</v>
      </c>
      <c r="B57" s="10"/>
      <c r="C57" s="11"/>
      <c r="E57" s="12">
        <f t="shared" si="27"/>
        <v>53.333300418081251</v>
      </c>
      <c r="N57" s="9" t="e">
        <f t="shared" si="72"/>
        <v>#N/A</v>
      </c>
      <c r="O57" s="10"/>
      <c r="P57" s="11"/>
      <c r="Q57" s="32"/>
      <c r="R57" s="12">
        <f t="shared" si="33"/>
        <v>55.441590793518081</v>
      </c>
      <c r="AA57" s="9"/>
      <c r="AB57" s="10"/>
      <c r="AC57" s="11"/>
      <c r="AD57" s="32"/>
      <c r="AE57" s="12">
        <f t="shared" si="39"/>
        <v>55.127024234462382</v>
      </c>
      <c r="AN57" s="9"/>
      <c r="AO57" s="10"/>
      <c r="AP57" s="11"/>
      <c r="AR57" s="12">
        <f t="shared" si="45"/>
        <v>56.648108901150771</v>
      </c>
      <c r="BA57" s="9"/>
      <c r="BB57" s="10"/>
      <c r="BC57" s="11"/>
      <c r="BD57" s="32"/>
      <c r="BE57" s="12">
        <f t="shared" si="73"/>
        <v>58.82304059067468</v>
      </c>
      <c r="BN57" s="9"/>
      <c r="BO57" s="10"/>
      <c r="BP57" s="11"/>
      <c r="BQ57" s="32"/>
      <c r="BR57" s="12">
        <f t="shared" si="74"/>
        <v>56.796568775721767</v>
      </c>
    </row>
    <row r="58" spans="1:70" x14ac:dyDescent="0.3">
      <c r="A58" s="9" t="e">
        <f t="shared" si="71"/>
        <v>#N/A</v>
      </c>
      <c r="B58" s="10"/>
      <c r="C58" s="11"/>
      <c r="E58" s="12">
        <f t="shared" si="27"/>
        <v>53.333300418081251</v>
      </c>
      <c r="N58" s="9" t="e">
        <f t="shared" si="72"/>
        <v>#N/A</v>
      </c>
      <c r="O58" s="10"/>
      <c r="P58" s="11"/>
      <c r="Q58" s="32"/>
      <c r="R58" s="12">
        <f t="shared" si="33"/>
        <v>55.441590793518081</v>
      </c>
      <c r="AA58" s="9"/>
      <c r="AB58" s="10"/>
      <c r="AC58" s="11"/>
      <c r="AD58" s="32"/>
      <c r="AE58" s="12">
        <f t="shared" si="39"/>
        <v>55.127024234462382</v>
      </c>
      <c r="AN58" s="9"/>
      <c r="AO58" s="10"/>
      <c r="AP58" s="11"/>
      <c r="AR58" s="12">
        <f t="shared" si="45"/>
        <v>56.648108901150771</v>
      </c>
      <c r="BA58" s="9"/>
      <c r="BB58" s="10"/>
      <c r="BC58" s="11"/>
      <c r="BD58" s="32"/>
      <c r="BE58" s="12">
        <f t="shared" si="73"/>
        <v>58.82304059067468</v>
      </c>
      <c r="BN58" s="9"/>
      <c r="BO58" s="10"/>
      <c r="BP58" s="11"/>
      <c r="BQ58" s="32"/>
      <c r="BR58" s="12">
        <f t="shared" si="74"/>
        <v>56.796568775721767</v>
      </c>
    </row>
    <row r="59" spans="1:70" x14ac:dyDescent="0.3">
      <c r="A59" s="9" t="e">
        <f t="shared" si="71"/>
        <v>#N/A</v>
      </c>
      <c r="B59" s="10"/>
      <c r="C59" s="11"/>
      <c r="E59" s="12">
        <f t="shared" si="27"/>
        <v>53.333300418081251</v>
      </c>
      <c r="N59" s="9" t="e">
        <f t="shared" si="72"/>
        <v>#N/A</v>
      </c>
      <c r="O59" s="10"/>
      <c r="P59" s="11"/>
      <c r="Q59" s="32"/>
      <c r="R59" s="12">
        <f t="shared" si="33"/>
        <v>55.441590793518081</v>
      </c>
      <c r="AA59" s="9"/>
      <c r="AB59" s="10"/>
      <c r="AC59" s="11"/>
      <c r="AD59" s="32"/>
      <c r="AE59" s="12">
        <f t="shared" si="39"/>
        <v>55.127024234462382</v>
      </c>
      <c r="AN59" s="9"/>
      <c r="AO59" s="10"/>
      <c r="AP59" s="11"/>
      <c r="AR59" s="12">
        <f t="shared" si="45"/>
        <v>56.648108901150771</v>
      </c>
      <c r="BA59" s="9"/>
      <c r="BB59" s="10"/>
      <c r="BC59" s="11"/>
      <c r="BD59" s="32"/>
      <c r="BE59" s="12">
        <f t="shared" si="73"/>
        <v>58.82304059067468</v>
      </c>
      <c r="BN59" s="9"/>
      <c r="BO59" s="10"/>
      <c r="BP59" s="11"/>
      <c r="BQ59" s="32"/>
      <c r="BR59" s="12">
        <f t="shared" si="74"/>
        <v>56.796568775721767</v>
      </c>
    </row>
    <row r="60" spans="1:70" x14ac:dyDescent="0.3">
      <c r="A60" s="9" t="e">
        <f t="shared" si="71"/>
        <v>#N/A</v>
      </c>
      <c r="B60" s="10"/>
      <c r="C60" s="11"/>
      <c r="E60" s="12">
        <f t="shared" si="27"/>
        <v>53.333300418081251</v>
      </c>
      <c r="N60" s="9" t="e">
        <f t="shared" si="72"/>
        <v>#N/A</v>
      </c>
      <c r="O60" s="10"/>
      <c r="P60" s="11"/>
      <c r="Q60" s="32"/>
      <c r="R60" s="12">
        <f t="shared" si="33"/>
        <v>55.441590793518081</v>
      </c>
      <c r="AA60" s="9"/>
      <c r="AB60" s="10"/>
      <c r="AC60" s="11"/>
      <c r="AD60" s="32"/>
      <c r="AE60" s="12">
        <f t="shared" si="39"/>
        <v>55.127024234462382</v>
      </c>
      <c r="AN60" s="9"/>
      <c r="AO60" s="10"/>
      <c r="AP60" s="11"/>
      <c r="AR60" s="12">
        <f t="shared" si="45"/>
        <v>56.648108901150771</v>
      </c>
      <c r="BA60" s="9"/>
      <c r="BB60" s="10"/>
      <c r="BC60" s="11"/>
      <c r="BD60" s="32"/>
      <c r="BE60" s="12">
        <f t="shared" si="73"/>
        <v>58.82304059067468</v>
      </c>
      <c r="BN60" s="9"/>
      <c r="BO60" s="10"/>
      <c r="BP60" s="11"/>
      <c r="BQ60" s="32"/>
      <c r="BR60" s="12">
        <f t="shared" si="74"/>
        <v>56.796568775721767</v>
      </c>
    </row>
    <row r="61" spans="1:70" x14ac:dyDescent="0.3">
      <c r="A61" s="9" t="e">
        <f t="shared" si="71"/>
        <v>#N/A</v>
      </c>
      <c r="B61" s="10"/>
      <c r="C61" s="11"/>
      <c r="E61" s="12">
        <f t="shared" si="27"/>
        <v>53.333300418081251</v>
      </c>
      <c r="N61" s="9" t="e">
        <f t="shared" si="72"/>
        <v>#N/A</v>
      </c>
      <c r="O61" s="10"/>
      <c r="P61" s="11"/>
      <c r="Q61" s="32"/>
      <c r="R61" s="12">
        <f t="shared" si="33"/>
        <v>55.441590793518081</v>
      </c>
      <c r="AA61" s="9"/>
      <c r="AB61" s="10"/>
      <c r="AC61" s="11"/>
      <c r="AD61" s="32"/>
      <c r="AE61" s="12">
        <f t="shared" si="39"/>
        <v>55.127024234462382</v>
      </c>
      <c r="AN61" s="9"/>
      <c r="AO61" s="10"/>
      <c r="AP61" s="11"/>
      <c r="AR61" s="12">
        <f t="shared" si="45"/>
        <v>56.648108901150771</v>
      </c>
      <c r="BA61" s="9"/>
      <c r="BB61" s="10"/>
      <c r="BC61" s="11"/>
      <c r="BD61" s="32"/>
      <c r="BE61" s="12">
        <f t="shared" si="73"/>
        <v>58.82304059067468</v>
      </c>
      <c r="BN61" s="9"/>
      <c r="BO61" s="10"/>
      <c r="BP61" s="11"/>
      <c r="BQ61" s="32"/>
      <c r="BR61" s="12">
        <f t="shared" si="74"/>
        <v>56.796568775721767</v>
      </c>
    </row>
    <row r="62" spans="1:70" x14ac:dyDescent="0.3">
      <c r="A62" s="9" t="e">
        <f t="shared" si="71"/>
        <v>#N/A</v>
      </c>
      <c r="B62" s="10"/>
      <c r="C62" s="11"/>
      <c r="E62" s="12">
        <f t="shared" si="27"/>
        <v>53.333300418081251</v>
      </c>
      <c r="N62" s="9" t="e">
        <f t="shared" si="72"/>
        <v>#N/A</v>
      </c>
      <c r="O62" s="10"/>
      <c r="P62" s="11"/>
      <c r="Q62" s="32"/>
      <c r="R62" s="12">
        <f t="shared" si="33"/>
        <v>55.441590793518081</v>
      </c>
      <c r="AA62" s="9"/>
      <c r="AB62" s="10"/>
      <c r="AC62" s="11"/>
      <c r="AD62" s="32"/>
      <c r="AE62" s="12">
        <f t="shared" si="39"/>
        <v>55.127024234462382</v>
      </c>
      <c r="AN62" s="9"/>
      <c r="AO62" s="10"/>
      <c r="AP62" s="11"/>
      <c r="AR62" s="12">
        <f t="shared" si="45"/>
        <v>56.648108901150771</v>
      </c>
      <c r="BA62" s="9"/>
      <c r="BB62" s="10"/>
      <c r="BC62" s="11"/>
      <c r="BD62" s="32"/>
      <c r="BE62" s="12">
        <f t="shared" si="73"/>
        <v>58.82304059067468</v>
      </c>
      <c r="BN62" s="9"/>
      <c r="BO62" s="10"/>
      <c r="BP62" s="11"/>
      <c r="BQ62" s="32"/>
      <c r="BR62" s="12">
        <f t="shared" si="74"/>
        <v>56.796568775721767</v>
      </c>
    </row>
    <row r="63" spans="1:70" x14ac:dyDescent="0.3">
      <c r="A63" s="9" t="e">
        <f t="shared" si="71"/>
        <v>#N/A</v>
      </c>
      <c r="B63" s="10"/>
      <c r="C63" s="11"/>
      <c r="E63" s="12">
        <f t="shared" si="27"/>
        <v>53.333300418081251</v>
      </c>
      <c r="N63" s="9" t="e">
        <f t="shared" si="72"/>
        <v>#N/A</v>
      </c>
      <c r="O63" s="10"/>
      <c r="P63" s="11"/>
      <c r="Q63" s="32"/>
      <c r="R63" s="12">
        <f t="shared" si="33"/>
        <v>55.441590793518081</v>
      </c>
      <c r="AA63" s="9"/>
      <c r="AB63" s="10"/>
      <c r="AC63" s="11"/>
      <c r="AD63" s="32"/>
      <c r="AE63" s="12">
        <f t="shared" si="39"/>
        <v>55.127024234462382</v>
      </c>
      <c r="AN63" s="9"/>
      <c r="AO63" s="10"/>
      <c r="AP63" s="11"/>
      <c r="AR63" s="12">
        <f t="shared" si="45"/>
        <v>56.648108901150771</v>
      </c>
      <c r="BA63" s="9"/>
      <c r="BB63" s="10"/>
      <c r="BC63" s="11"/>
      <c r="BD63" s="32"/>
      <c r="BE63" s="12">
        <f t="shared" si="73"/>
        <v>58.82304059067468</v>
      </c>
      <c r="BN63" s="9"/>
      <c r="BO63" s="10"/>
      <c r="BP63" s="11"/>
      <c r="BQ63" s="32"/>
      <c r="BR63" s="12">
        <f t="shared" si="74"/>
        <v>56.796568775721767</v>
      </c>
    </row>
    <row r="64" spans="1:70" x14ac:dyDescent="0.3">
      <c r="A64" s="9" t="e">
        <f t="shared" si="71"/>
        <v>#N/A</v>
      </c>
      <c r="B64" s="10"/>
      <c r="C64" s="11"/>
      <c r="E64" s="12">
        <f t="shared" si="27"/>
        <v>53.333300418081251</v>
      </c>
      <c r="N64" s="9" t="e">
        <f t="shared" si="72"/>
        <v>#N/A</v>
      </c>
      <c r="O64" s="10"/>
      <c r="P64" s="11"/>
      <c r="Q64" s="32"/>
      <c r="R64" s="12">
        <f t="shared" si="33"/>
        <v>55.441590793518081</v>
      </c>
      <c r="AA64" s="9"/>
      <c r="AB64" s="10"/>
      <c r="AC64" s="11"/>
      <c r="AD64" s="32"/>
      <c r="AE64" s="12">
        <f t="shared" si="39"/>
        <v>55.127024234462382</v>
      </c>
      <c r="AN64" s="9"/>
      <c r="AO64" s="10"/>
      <c r="AP64" s="11"/>
      <c r="AR64" s="12">
        <f t="shared" si="45"/>
        <v>56.648108901150771</v>
      </c>
      <c r="BA64" s="9"/>
      <c r="BB64" s="10"/>
      <c r="BC64" s="11"/>
      <c r="BD64" s="32"/>
      <c r="BE64" s="12">
        <f t="shared" si="73"/>
        <v>58.82304059067468</v>
      </c>
      <c r="BN64" s="9"/>
      <c r="BO64" s="10"/>
      <c r="BP64" s="11"/>
      <c r="BQ64" s="32"/>
      <c r="BR64" s="12">
        <f t="shared" si="74"/>
        <v>56.796568775721767</v>
      </c>
    </row>
    <row r="65" spans="1:70" x14ac:dyDescent="0.3">
      <c r="A65" s="9" t="e">
        <f t="shared" si="71"/>
        <v>#N/A</v>
      </c>
      <c r="B65" s="10"/>
      <c r="C65" s="11"/>
      <c r="E65" s="12">
        <f t="shared" si="27"/>
        <v>53.333300418081251</v>
      </c>
      <c r="N65" s="9" t="e">
        <f t="shared" si="72"/>
        <v>#N/A</v>
      </c>
      <c r="O65" s="10"/>
      <c r="P65" s="11"/>
      <c r="Q65" s="32"/>
      <c r="R65" s="12">
        <f t="shared" si="33"/>
        <v>55.441590793518081</v>
      </c>
      <c r="AA65" s="9"/>
      <c r="AB65" s="10"/>
      <c r="AC65" s="11"/>
      <c r="AD65" s="32"/>
      <c r="AE65" s="12">
        <f t="shared" si="39"/>
        <v>55.127024234462382</v>
      </c>
      <c r="AN65" s="9"/>
      <c r="AO65" s="10"/>
      <c r="AP65" s="11"/>
      <c r="AR65" s="12">
        <f t="shared" si="45"/>
        <v>56.648108901150771</v>
      </c>
      <c r="BA65" s="9"/>
      <c r="BB65" s="10"/>
      <c r="BC65" s="11"/>
      <c r="BD65" s="32"/>
      <c r="BE65" s="12">
        <f t="shared" si="73"/>
        <v>58.82304059067468</v>
      </c>
      <c r="BN65" s="9"/>
      <c r="BO65" s="10"/>
      <c r="BP65" s="11"/>
      <c r="BQ65" s="32"/>
      <c r="BR65" s="12">
        <f t="shared" si="74"/>
        <v>56.796568775721767</v>
      </c>
    </row>
    <row r="66" spans="1:70" x14ac:dyDescent="0.3">
      <c r="A66" s="9" t="e">
        <f t="shared" si="71"/>
        <v>#N/A</v>
      </c>
      <c r="B66" s="10"/>
      <c r="C66" s="11"/>
      <c r="E66" s="12">
        <f t="shared" si="27"/>
        <v>53.333300418081251</v>
      </c>
      <c r="N66" s="9" t="e">
        <f t="shared" si="72"/>
        <v>#N/A</v>
      </c>
      <c r="O66" s="10"/>
      <c r="P66" s="11"/>
      <c r="Q66" s="32"/>
      <c r="R66" s="12">
        <f t="shared" si="33"/>
        <v>55.441590793518081</v>
      </c>
      <c r="AA66" s="9"/>
      <c r="AB66" s="10"/>
      <c r="AC66" s="11"/>
      <c r="AD66" s="32"/>
      <c r="AE66" s="12">
        <f t="shared" si="39"/>
        <v>55.127024234462382</v>
      </c>
      <c r="AN66" s="9"/>
      <c r="AO66" s="10"/>
      <c r="AP66" s="11"/>
      <c r="AR66" s="12">
        <f t="shared" si="45"/>
        <v>56.648108901150771</v>
      </c>
      <c r="BA66" s="9"/>
      <c r="BB66" s="10"/>
      <c r="BC66" s="11"/>
      <c r="BD66" s="32"/>
      <c r="BE66" s="12">
        <f t="shared" si="73"/>
        <v>58.82304059067468</v>
      </c>
      <c r="BN66" s="9"/>
      <c r="BO66" s="10"/>
      <c r="BP66" s="11"/>
      <c r="BQ66" s="32"/>
      <c r="BR66" s="12">
        <f t="shared" si="74"/>
        <v>56.796568775721767</v>
      </c>
    </row>
    <row r="67" spans="1:70" x14ac:dyDescent="0.3">
      <c r="A67" s="9" t="e">
        <f t="shared" si="71"/>
        <v>#N/A</v>
      </c>
      <c r="B67" s="10"/>
      <c r="C67" s="11"/>
      <c r="E67" s="12">
        <f t="shared" si="27"/>
        <v>53.333300418081251</v>
      </c>
      <c r="N67" s="9" t="e">
        <f t="shared" si="72"/>
        <v>#N/A</v>
      </c>
      <c r="O67" s="10"/>
      <c r="P67" s="11"/>
      <c r="Q67" s="32"/>
      <c r="R67" s="12">
        <f t="shared" si="33"/>
        <v>55.441590793518081</v>
      </c>
      <c r="AA67" s="9"/>
      <c r="AB67" s="10"/>
      <c r="AC67" s="11"/>
      <c r="AD67" s="32"/>
      <c r="AE67" s="12">
        <f t="shared" si="39"/>
        <v>55.127024234462382</v>
      </c>
      <c r="AN67" s="9"/>
      <c r="AO67" s="10"/>
      <c r="AP67" s="11"/>
      <c r="AR67" s="12">
        <f t="shared" si="45"/>
        <v>56.648108901150771</v>
      </c>
      <c r="BA67" s="9"/>
      <c r="BB67" s="10"/>
      <c r="BC67" s="11"/>
      <c r="BD67" s="32"/>
      <c r="BE67" s="12">
        <f t="shared" si="73"/>
        <v>58.82304059067468</v>
      </c>
      <c r="BN67" s="9"/>
      <c r="BO67" s="10"/>
      <c r="BP67" s="11"/>
      <c r="BQ67" s="32"/>
      <c r="BR67" s="12">
        <f t="shared" si="74"/>
        <v>56.796568775721767</v>
      </c>
    </row>
    <row r="68" spans="1:70" x14ac:dyDescent="0.3">
      <c r="A68" s="9" t="e">
        <f t="shared" si="71"/>
        <v>#N/A</v>
      </c>
      <c r="B68" s="10"/>
      <c r="C68" s="11"/>
      <c r="E68" s="12">
        <f t="shared" si="27"/>
        <v>53.333300418081251</v>
      </c>
      <c r="N68" s="9" t="e">
        <f t="shared" si="72"/>
        <v>#N/A</v>
      </c>
      <c r="O68" s="10"/>
      <c r="P68" s="11"/>
      <c r="Q68" s="32"/>
      <c r="R68" s="12">
        <f t="shared" si="33"/>
        <v>55.441590793518081</v>
      </c>
      <c r="AA68" s="9"/>
      <c r="AB68" s="10"/>
      <c r="AC68" s="11"/>
      <c r="AD68" s="32"/>
      <c r="AE68" s="12">
        <f t="shared" si="39"/>
        <v>55.127024234462382</v>
      </c>
      <c r="AN68" s="9"/>
      <c r="AO68" s="10"/>
      <c r="AP68" s="11"/>
      <c r="AR68" s="12">
        <f t="shared" si="45"/>
        <v>56.648108901150771</v>
      </c>
      <c r="BA68" s="9"/>
      <c r="BB68" s="10"/>
      <c r="BC68" s="11"/>
      <c r="BD68" s="32"/>
      <c r="BE68" s="12">
        <f t="shared" si="73"/>
        <v>58.82304059067468</v>
      </c>
      <c r="BN68" s="9"/>
      <c r="BO68" s="10"/>
      <c r="BP68" s="11"/>
      <c r="BQ68" s="32"/>
      <c r="BR68" s="12">
        <f t="shared" si="74"/>
        <v>56.796568775721767</v>
      </c>
    </row>
    <row r="69" spans="1:70" x14ac:dyDescent="0.3">
      <c r="A69" s="9" t="e">
        <f t="shared" si="71"/>
        <v>#N/A</v>
      </c>
      <c r="B69" s="10"/>
      <c r="C69" s="11"/>
      <c r="E69" s="12">
        <f t="shared" si="27"/>
        <v>53.333300418081251</v>
      </c>
      <c r="N69" s="9" t="e">
        <f t="shared" si="72"/>
        <v>#N/A</v>
      </c>
      <c r="O69" s="10"/>
      <c r="P69" s="11"/>
      <c r="Q69" s="32"/>
      <c r="R69" s="12">
        <f t="shared" si="33"/>
        <v>55.441590793518081</v>
      </c>
      <c r="AA69" s="9"/>
      <c r="AB69" s="10"/>
      <c r="AC69" s="11"/>
      <c r="AD69" s="32"/>
      <c r="AE69" s="12">
        <f t="shared" si="39"/>
        <v>55.127024234462382</v>
      </c>
      <c r="AN69" s="9"/>
      <c r="AO69" s="10"/>
      <c r="AP69" s="11"/>
      <c r="AR69" s="12">
        <f t="shared" si="45"/>
        <v>56.648108901150771</v>
      </c>
      <c r="BA69" s="9"/>
      <c r="BB69" s="10"/>
      <c r="BC69" s="11"/>
      <c r="BD69" s="32"/>
      <c r="BE69" s="12">
        <f t="shared" si="73"/>
        <v>58.82304059067468</v>
      </c>
      <c r="BN69" s="9"/>
      <c r="BO69" s="10"/>
      <c r="BP69" s="11"/>
      <c r="BQ69" s="32"/>
      <c r="BR69" s="12">
        <f t="shared" si="74"/>
        <v>56.796568775721767</v>
      </c>
    </row>
    <row r="70" spans="1:70" x14ac:dyDescent="0.3">
      <c r="A70" s="9" t="e">
        <f t="shared" si="71"/>
        <v>#N/A</v>
      </c>
      <c r="B70" s="10"/>
      <c r="C70" s="11"/>
      <c r="E70" s="12">
        <f t="shared" si="27"/>
        <v>53.333300418081251</v>
      </c>
      <c r="N70" s="9" t="e">
        <f t="shared" si="72"/>
        <v>#N/A</v>
      </c>
      <c r="O70" s="10"/>
      <c r="P70" s="11"/>
      <c r="Q70" s="32"/>
      <c r="R70" s="12">
        <f t="shared" si="33"/>
        <v>55.441590793518081</v>
      </c>
      <c r="AA70" s="9"/>
      <c r="AB70" s="10"/>
      <c r="AC70" s="11"/>
      <c r="AD70" s="32"/>
      <c r="AE70" s="12">
        <f t="shared" si="39"/>
        <v>55.127024234462382</v>
      </c>
      <c r="AN70" s="9"/>
      <c r="AO70" s="10"/>
      <c r="AP70" s="11"/>
      <c r="AR70" s="12">
        <f t="shared" si="45"/>
        <v>56.648108901150771</v>
      </c>
      <c r="BA70" s="9"/>
      <c r="BB70" s="10"/>
      <c r="BC70" s="11"/>
      <c r="BD70" s="32"/>
      <c r="BE70" s="12">
        <f t="shared" si="73"/>
        <v>58.82304059067468</v>
      </c>
      <c r="BN70" s="9"/>
      <c r="BO70" s="10"/>
      <c r="BP70" s="11"/>
      <c r="BQ70" s="32"/>
      <c r="BR70" s="12">
        <f t="shared" si="74"/>
        <v>56.796568775721767</v>
      </c>
    </row>
    <row r="71" spans="1:70" x14ac:dyDescent="0.3">
      <c r="A71" s="9" t="e">
        <f t="shared" si="71"/>
        <v>#N/A</v>
      </c>
      <c r="B71" s="10"/>
      <c r="C71" s="11"/>
      <c r="E71" s="12">
        <f t="shared" si="27"/>
        <v>53.333300418081251</v>
      </c>
      <c r="N71" s="9" t="e">
        <f t="shared" si="72"/>
        <v>#N/A</v>
      </c>
      <c r="O71" s="10"/>
      <c r="P71" s="11"/>
      <c r="Q71" s="32"/>
      <c r="R71" s="12">
        <f t="shared" si="33"/>
        <v>55.441590793518081</v>
      </c>
      <c r="AA71" s="9"/>
      <c r="AB71" s="10"/>
      <c r="AC71" s="11"/>
      <c r="AD71" s="32"/>
      <c r="AE71" s="12">
        <f t="shared" si="39"/>
        <v>55.127024234462382</v>
      </c>
      <c r="AN71" s="9"/>
      <c r="AO71" s="10"/>
      <c r="AP71" s="11"/>
      <c r="AR71" s="12">
        <f t="shared" si="45"/>
        <v>56.648108901150771</v>
      </c>
      <c r="BA71" s="9"/>
      <c r="BB71" s="10"/>
      <c r="BC71" s="11"/>
      <c r="BD71" s="32"/>
      <c r="BE71" s="12">
        <f t="shared" si="73"/>
        <v>58.82304059067468</v>
      </c>
      <c r="BN71" s="9"/>
      <c r="BO71" s="10"/>
      <c r="BP71" s="11"/>
      <c r="BQ71" s="32"/>
      <c r="BR71" s="12">
        <f t="shared" si="74"/>
        <v>56.796568775721767</v>
      </c>
    </row>
    <row r="72" spans="1:70" x14ac:dyDescent="0.3">
      <c r="A72" s="9" t="e">
        <f t="shared" si="71"/>
        <v>#N/A</v>
      </c>
      <c r="B72" s="10"/>
      <c r="C72" s="11"/>
      <c r="E72" s="12">
        <f t="shared" si="27"/>
        <v>53.333300418081251</v>
      </c>
      <c r="N72" s="9" t="e">
        <f t="shared" si="72"/>
        <v>#N/A</v>
      </c>
      <c r="O72" s="10"/>
      <c r="P72" s="11"/>
      <c r="Q72" s="32"/>
      <c r="R72" s="12">
        <f t="shared" si="33"/>
        <v>55.441590793518081</v>
      </c>
      <c r="AA72" s="9"/>
      <c r="AB72" s="10"/>
      <c r="AC72" s="11"/>
      <c r="AD72" s="32"/>
      <c r="AE72" s="12">
        <f t="shared" si="39"/>
        <v>55.127024234462382</v>
      </c>
      <c r="AN72" s="9"/>
      <c r="AO72" s="10"/>
      <c r="AP72" s="11"/>
      <c r="AR72" s="12">
        <f t="shared" si="45"/>
        <v>56.648108901150771</v>
      </c>
      <c r="BA72" s="9"/>
      <c r="BB72" s="10"/>
      <c r="BC72" s="11"/>
      <c r="BD72" s="32"/>
      <c r="BE72" s="12">
        <f t="shared" si="73"/>
        <v>58.82304059067468</v>
      </c>
      <c r="BN72" s="9"/>
      <c r="BO72" s="10"/>
      <c r="BP72" s="11"/>
      <c r="BQ72" s="32"/>
      <c r="BR72" s="12">
        <f t="shared" si="74"/>
        <v>56.796568775721767</v>
      </c>
    </row>
    <row r="73" spans="1:70" x14ac:dyDescent="0.3">
      <c r="A73" s="9" t="e">
        <f t="shared" si="71"/>
        <v>#N/A</v>
      </c>
      <c r="B73" s="10"/>
      <c r="C73" s="11"/>
      <c r="E73" s="12">
        <f t="shared" si="27"/>
        <v>53.333300418081251</v>
      </c>
      <c r="N73" s="9" t="e">
        <f t="shared" si="72"/>
        <v>#N/A</v>
      </c>
      <c r="O73" s="10"/>
      <c r="P73" s="11"/>
      <c r="Q73" s="32"/>
      <c r="R73" s="12">
        <f t="shared" si="33"/>
        <v>55.441590793518081</v>
      </c>
      <c r="AA73" s="9"/>
      <c r="AB73" s="10"/>
      <c r="AC73" s="11"/>
      <c r="AD73" s="32"/>
      <c r="AE73" s="12">
        <f t="shared" si="39"/>
        <v>55.127024234462382</v>
      </c>
      <c r="AN73" s="9"/>
      <c r="AO73" s="10"/>
      <c r="AP73" s="11"/>
      <c r="AR73" s="12">
        <f t="shared" si="45"/>
        <v>56.648108901150771</v>
      </c>
      <c r="BA73" s="9"/>
      <c r="BB73" s="10"/>
      <c r="BC73" s="11"/>
      <c r="BD73" s="32"/>
      <c r="BE73" s="12">
        <f t="shared" si="73"/>
        <v>58.82304059067468</v>
      </c>
      <c r="BN73" s="9"/>
      <c r="BO73" s="10"/>
      <c r="BP73" s="11"/>
      <c r="BQ73" s="32"/>
      <c r="BR73" s="12">
        <f t="shared" si="74"/>
        <v>56.796568775721767</v>
      </c>
    </row>
    <row r="74" spans="1:70" x14ac:dyDescent="0.3">
      <c r="A74" s="9" t="e">
        <f t="shared" si="71"/>
        <v>#N/A</v>
      </c>
      <c r="B74" s="10"/>
      <c r="C74" s="11"/>
      <c r="E74" s="12">
        <f t="shared" si="27"/>
        <v>53.333300418081251</v>
      </c>
      <c r="N74" s="9" t="e">
        <f t="shared" si="72"/>
        <v>#N/A</v>
      </c>
      <c r="O74" s="10"/>
      <c r="P74" s="11"/>
      <c r="Q74" s="32"/>
      <c r="R74" s="12">
        <f t="shared" si="33"/>
        <v>55.441590793518081</v>
      </c>
      <c r="AA74" s="9"/>
      <c r="AB74" s="10"/>
      <c r="AC74" s="11"/>
      <c r="AD74" s="32"/>
      <c r="AE74" s="12">
        <f t="shared" si="39"/>
        <v>55.127024234462382</v>
      </c>
      <c r="AN74" s="9"/>
      <c r="AO74" s="10"/>
      <c r="AP74" s="11"/>
      <c r="AR74" s="12">
        <f t="shared" si="45"/>
        <v>56.648108901150771</v>
      </c>
      <c r="BA74" s="9"/>
      <c r="BB74" s="10"/>
      <c r="BC74" s="11"/>
      <c r="BD74" s="32"/>
      <c r="BE74" s="12">
        <f t="shared" si="73"/>
        <v>58.82304059067468</v>
      </c>
      <c r="BN74" s="9"/>
      <c r="BO74" s="10"/>
      <c r="BP74" s="11"/>
      <c r="BQ74" s="32"/>
      <c r="BR74" s="12">
        <f t="shared" si="74"/>
        <v>56.796568775721767</v>
      </c>
    </row>
    <row r="75" spans="1:70" x14ac:dyDescent="0.3">
      <c r="A75" s="9" t="e">
        <f t="shared" si="71"/>
        <v>#N/A</v>
      </c>
      <c r="B75" s="10"/>
      <c r="C75" s="11"/>
      <c r="E75" s="12">
        <f t="shared" si="27"/>
        <v>53.333300418081251</v>
      </c>
      <c r="N75" s="9" t="e">
        <f t="shared" si="72"/>
        <v>#N/A</v>
      </c>
      <c r="O75" s="10"/>
      <c r="P75" s="11"/>
      <c r="Q75" s="32"/>
      <c r="R75" s="12">
        <f t="shared" si="33"/>
        <v>55.441590793518081</v>
      </c>
      <c r="AA75" s="9"/>
      <c r="AB75" s="10"/>
      <c r="AC75" s="11"/>
      <c r="AD75" s="32"/>
      <c r="AE75" s="12">
        <f t="shared" si="39"/>
        <v>55.127024234462382</v>
      </c>
      <c r="AN75" s="9"/>
      <c r="AO75" s="10"/>
      <c r="AP75" s="11"/>
      <c r="AR75" s="12">
        <f t="shared" si="45"/>
        <v>56.648108901150771</v>
      </c>
      <c r="BA75" s="9"/>
      <c r="BB75" s="10"/>
      <c r="BC75" s="11"/>
      <c r="BD75" s="32"/>
      <c r="BE75" s="12">
        <f t="shared" si="73"/>
        <v>58.82304059067468</v>
      </c>
      <c r="BN75" s="9"/>
      <c r="BO75" s="10"/>
      <c r="BP75" s="11"/>
      <c r="BQ75" s="32"/>
      <c r="BR75" s="12">
        <f t="shared" si="74"/>
        <v>56.796568775721767</v>
      </c>
    </row>
    <row r="76" spans="1:70" x14ac:dyDescent="0.3">
      <c r="A76" s="9" t="e">
        <f t="shared" ref="A76:A86" si="75">RANK(D76,D$12:D$970,1)</f>
        <v>#N/A</v>
      </c>
      <c r="B76" s="10"/>
      <c r="C76" s="11"/>
      <c r="E76" s="12">
        <f t="shared" si="27"/>
        <v>53.333300418081251</v>
      </c>
      <c r="N76" s="9" t="e">
        <f t="shared" ref="N76:N86" si="76">RANK(Q76,Q$12:Q$970,1)</f>
        <v>#N/A</v>
      </c>
      <c r="O76" s="10"/>
      <c r="P76" s="11"/>
      <c r="Q76" s="32"/>
      <c r="R76" s="12">
        <f t="shared" si="33"/>
        <v>55.441590793518081</v>
      </c>
      <c r="AA76" s="9"/>
      <c r="AB76" s="10"/>
      <c r="AC76" s="11"/>
      <c r="AD76" s="32"/>
      <c r="AE76" s="12">
        <f t="shared" si="39"/>
        <v>55.127024234462382</v>
      </c>
      <c r="AN76" s="9"/>
      <c r="AO76" s="10"/>
      <c r="AP76" s="11"/>
      <c r="AR76" s="12">
        <f t="shared" si="45"/>
        <v>56.648108901150771</v>
      </c>
      <c r="BA76" s="9"/>
      <c r="BB76" s="10"/>
      <c r="BC76" s="11"/>
      <c r="BD76" s="32"/>
      <c r="BE76" s="12">
        <f t="shared" ref="BE76:BE83" si="77">BD$5+BC76*BD$4</f>
        <v>58.82304059067468</v>
      </c>
      <c r="BN76" s="9"/>
      <c r="BO76" s="10"/>
      <c r="BP76" s="11"/>
      <c r="BQ76" s="32"/>
      <c r="BR76" s="12">
        <f t="shared" ref="BR76:BR83" si="78">BQ$5+BP76*BQ$4</f>
        <v>56.796568775721767</v>
      </c>
    </row>
    <row r="77" spans="1:70" x14ac:dyDescent="0.3">
      <c r="A77" s="9" t="e">
        <f t="shared" si="75"/>
        <v>#N/A</v>
      </c>
      <c r="B77" s="10"/>
      <c r="C77" s="11"/>
      <c r="E77" s="12">
        <f t="shared" ref="E77:E86" si="79">D$5+C77*D$4</f>
        <v>53.333300418081251</v>
      </c>
      <c r="N77" s="9" t="e">
        <f t="shared" si="76"/>
        <v>#N/A</v>
      </c>
      <c r="O77" s="10"/>
      <c r="P77" s="11"/>
      <c r="Q77" s="32"/>
      <c r="R77" s="12">
        <f t="shared" ref="R77:R83" si="80">Q$5+P77*Q$4</f>
        <v>55.441590793518081</v>
      </c>
      <c r="AA77" s="9"/>
      <c r="AB77" s="10"/>
      <c r="AC77" s="11"/>
      <c r="AD77" s="32"/>
      <c r="AE77" s="12">
        <f t="shared" ref="AE77:AE86" si="81">AD$5+AC77*AD$4</f>
        <v>55.127024234462382</v>
      </c>
      <c r="AN77" s="9"/>
      <c r="AO77" s="10"/>
      <c r="AP77" s="11"/>
      <c r="AR77" s="12">
        <f t="shared" ref="AR77:AR83" si="82">AQ$5+AP77*AQ$4</f>
        <v>56.648108901150771</v>
      </c>
      <c r="BA77" s="9"/>
      <c r="BB77" s="10"/>
      <c r="BC77" s="11"/>
      <c r="BD77" s="32"/>
      <c r="BE77" s="12">
        <f t="shared" si="77"/>
        <v>58.82304059067468</v>
      </c>
      <c r="BN77" s="9"/>
      <c r="BO77" s="10"/>
      <c r="BP77" s="11"/>
      <c r="BQ77" s="32"/>
      <c r="BR77" s="12">
        <f t="shared" si="78"/>
        <v>56.796568775721767</v>
      </c>
    </row>
    <row r="78" spans="1:70" x14ac:dyDescent="0.3">
      <c r="A78" s="9" t="e">
        <f t="shared" si="75"/>
        <v>#N/A</v>
      </c>
      <c r="B78" s="10"/>
      <c r="C78" s="11"/>
      <c r="E78" s="12">
        <f t="shared" si="79"/>
        <v>53.333300418081251</v>
      </c>
      <c r="N78" s="9" t="e">
        <f t="shared" si="76"/>
        <v>#N/A</v>
      </c>
      <c r="O78" s="10"/>
      <c r="P78" s="11"/>
      <c r="Q78" s="32"/>
      <c r="R78" s="12">
        <f t="shared" si="80"/>
        <v>55.441590793518081</v>
      </c>
      <c r="AA78" s="9"/>
      <c r="AB78" s="10"/>
      <c r="AC78" s="11"/>
      <c r="AD78" s="32"/>
      <c r="AE78" s="12">
        <f t="shared" si="81"/>
        <v>55.127024234462382</v>
      </c>
      <c r="AN78" s="9"/>
      <c r="AO78" s="10"/>
      <c r="AP78" s="11"/>
      <c r="AR78" s="12">
        <f t="shared" si="82"/>
        <v>56.648108901150771</v>
      </c>
      <c r="BA78" s="9"/>
      <c r="BB78" s="10"/>
      <c r="BC78" s="11"/>
      <c r="BD78" s="32"/>
      <c r="BE78" s="12">
        <f t="shared" si="77"/>
        <v>58.82304059067468</v>
      </c>
      <c r="BN78" s="9"/>
      <c r="BO78" s="10"/>
      <c r="BP78" s="11"/>
      <c r="BQ78" s="32"/>
      <c r="BR78" s="12">
        <f t="shared" si="78"/>
        <v>56.796568775721767</v>
      </c>
    </row>
    <row r="79" spans="1:70" x14ac:dyDescent="0.3">
      <c r="A79" s="9" t="e">
        <f t="shared" si="75"/>
        <v>#N/A</v>
      </c>
      <c r="B79" s="10"/>
      <c r="C79" s="11"/>
      <c r="E79" s="12">
        <f t="shared" si="79"/>
        <v>53.333300418081251</v>
      </c>
      <c r="N79" s="9" t="e">
        <f t="shared" si="76"/>
        <v>#N/A</v>
      </c>
      <c r="O79" s="10"/>
      <c r="P79" s="11"/>
      <c r="Q79" s="32"/>
      <c r="R79" s="12">
        <f t="shared" si="80"/>
        <v>55.441590793518081</v>
      </c>
      <c r="AA79" s="9"/>
      <c r="AB79" s="10"/>
      <c r="AC79" s="11"/>
      <c r="AD79" s="32"/>
      <c r="AE79" s="12">
        <f t="shared" si="81"/>
        <v>55.127024234462382</v>
      </c>
      <c r="AN79" s="9"/>
      <c r="AO79" s="10"/>
      <c r="AP79" s="11"/>
      <c r="AR79" s="12">
        <f t="shared" si="82"/>
        <v>56.648108901150771</v>
      </c>
      <c r="BA79" s="9"/>
      <c r="BB79" s="10"/>
      <c r="BC79" s="11"/>
      <c r="BD79" s="32"/>
      <c r="BE79" s="12">
        <f t="shared" si="77"/>
        <v>58.82304059067468</v>
      </c>
      <c r="BN79" s="9"/>
      <c r="BO79" s="10"/>
      <c r="BP79" s="11"/>
      <c r="BQ79" s="32"/>
      <c r="BR79" s="12">
        <f t="shared" si="78"/>
        <v>56.796568775721767</v>
      </c>
    </row>
    <row r="80" spans="1:70" x14ac:dyDescent="0.3">
      <c r="A80" s="9" t="e">
        <f t="shared" si="75"/>
        <v>#N/A</v>
      </c>
      <c r="B80" s="10"/>
      <c r="C80" s="11"/>
      <c r="E80" s="12">
        <f t="shared" si="79"/>
        <v>53.333300418081251</v>
      </c>
      <c r="N80" s="9" t="e">
        <f t="shared" si="76"/>
        <v>#N/A</v>
      </c>
      <c r="O80" s="10"/>
      <c r="P80" s="11"/>
      <c r="Q80" s="32"/>
      <c r="R80" s="12">
        <f t="shared" si="80"/>
        <v>55.441590793518081</v>
      </c>
      <c r="AA80" s="9"/>
      <c r="AB80" s="10"/>
      <c r="AC80" s="11"/>
      <c r="AD80" s="32"/>
      <c r="AE80" s="12">
        <f t="shared" si="81"/>
        <v>55.127024234462382</v>
      </c>
      <c r="AN80" s="9"/>
      <c r="AO80" s="10"/>
      <c r="AP80" s="11"/>
      <c r="AR80" s="12">
        <f t="shared" si="82"/>
        <v>56.648108901150771</v>
      </c>
      <c r="BA80" s="9"/>
      <c r="BB80" s="10"/>
      <c r="BC80" s="11"/>
      <c r="BD80" s="32"/>
      <c r="BE80" s="12">
        <f t="shared" si="77"/>
        <v>58.82304059067468</v>
      </c>
      <c r="BN80" s="9"/>
      <c r="BO80" s="10"/>
      <c r="BP80" s="11"/>
      <c r="BQ80" s="32"/>
      <c r="BR80" s="12">
        <f t="shared" si="78"/>
        <v>56.796568775721767</v>
      </c>
    </row>
    <row r="81" spans="1:70" x14ac:dyDescent="0.3">
      <c r="A81" s="9" t="e">
        <f t="shared" si="75"/>
        <v>#N/A</v>
      </c>
      <c r="B81" s="10"/>
      <c r="C81" s="11"/>
      <c r="E81" s="12">
        <f t="shared" si="79"/>
        <v>53.333300418081251</v>
      </c>
      <c r="N81" s="9" t="e">
        <f t="shared" si="76"/>
        <v>#N/A</v>
      </c>
      <c r="O81" s="10"/>
      <c r="P81" s="11"/>
      <c r="Q81" s="32"/>
      <c r="R81" s="12">
        <f t="shared" si="80"/>
        <v>55.441590793518081</v>
      </c>
      <c r="AA81" s="9"/>
      <c r="AB81" s="10"/>
      <c r="AC81" s="11"/>
      <c r="AD81" s="32"/>
      <c r="AE81" s="12">
        <f t="shared" si="81"/>
        <v>55.127024234462382</v>
      </c>
      <c r="AN81" s="9"/>
      <c r="AO81" s="10"/>
      <c r="AP81" s="11"/>
      <c r="AR81" s="12">
        <f t="shared" si="82"/>
        <v>56.648108901150771</v>
      </c>
      <c r="BA81" s="9"/>
      <c r="BB81" s="10"/>
      <c r="BC81" s="11"/>
      <c r="BD81" s="32"/>
      <c r="BE81" s="12">
        <f t="shared" si="77"/>
        <v>58.82304059067468</v>
      </c>
      <c r="BN81" s="9"/>
      <c r="BO81" s="10"/>
      <c r="BP81" s="11"/>
      <c r="BQ81" s="32"/>
      <c r="BR81" s="12">
        <f t="shared" si="78"/>
        <v>56.796568775721767</v>
      </c>
    </row>
    <row r="82" spans="1:70" x14ac:dyDescent="0.3">
      <c r="A82" s="9" t="e">
        <f t="shared" si="75"/>
        <v>#N/A</v>
      </c>
      <c r="B82" s="10"/>
      <c r="C82" s="11"/>
      <c r="E82" s="12">
        <f t="shared" si="79"/>
        <v>53.333300418081251</v>
      </c>
      <c r="N82" s="9" t="e">
        <f t="shared" si="76"/>
        <v>#N/A</v>
      </c>
      <c r="O82" s="10"/>
      <c r="P82" s="11"/>
      <c r="Q82" s="32"/>
      <c r="R82" s="12">
        <f t="shared" si="80"/>
        <v>55.441590793518081</v>
      </c>
      <c r="AA82" s="9"/>
      <c r="AB82" s="10"/>
      <c r="AC82" s="11"/>
      <c r="AD82" s="32"/>
      <c r="AE82" s="12">
        <f t="shared" si="81"/>
        <v>55.127024234462382</v>
      </c>
      <c r="AN82" s="9"/>
      <c r="AO82" s="10"/>
      <c r="AP82" s="11"/>
      <c r="AR82" s="12">
        <f t="shared" si="82"/>
        <v>56.648108901150771</v>
      </c>
      <c r="BA82" s="9"/>
      <c r="BB82" s="10"/>
      <c r="BC82" s="11"/>
      <c r="BD82" s="32"/>
      <c r="BE82" s="12">
        <f t="shared" si="77"/>
        <v>58.82304059067468</v>
      </c>
      <c r="BN82" s="9"/>
      <c r="BO82" s="10"/>
      <c r="BP82" s="11"/>
      <c r="BQ82" s="32"/>
      <c r="BR82" s="12">
        <f t="shared" si="78"/>
        <v>56.796568775721767</v>
      </c>
    </row>
    <row r="83" spans="1:70" x14ac:dyDescent="0.3">
      <c r="A83" s="9" t="e">
        <f t="shared" si="75"/>
        <v>#N/A</v>
      </c>
      <c r="B83" s="10"/>
      <c r="C83" s="11"/>
      <c r="E83" s="12">
        <f t="shared" si="79"/>
        <v>53.333300418081251</v>
      </c>
      <c r="N83" s="9" t="e">
        <f t="shared" si="76"/>
        <v>#N/A</v>
      </c>
      <c r="O83" s="10"/>
      <c r="P83" s="11"/>
      <c r="Q83" s="32"/>
      <c r="R83" s="12">
        <f t="shared" si="80"/>
        <v>55.441590793518081</v>
      </c>
      <c r="AA83" s="9"/>
      <c r="AB83" s="10"/>
      <c r="AC83" s="11"/>
      <c r="AD83" s="32"/>
      <c r="AE83" s="12">
        <f t="shared" si="81"/>
        <v>55.127024234462382</v>
      </c>
      <c r="AN83" s="9"/>
      <c r="AO83" s="10"/>
      <c r="AP83" s="11"/>
      <c r="AR83" s="12">
        <f t="shared" si="82"/>
        <v>56.648108901150771</v>
      </c>
      <c r="BA83" s="9"/>
      <c r="BB83" s="10"/>
      <c r="BC83" s="11"/>
      <c r="BD83" s="32"/>
      <c r="BE83" s="12">
        <f t="shared" si="77"/>
        <v>58.82304059067468</v>
      </c>
      <c r="BN83" s="9"/>
      <c r="BO83" s="10"/>
      <c r="BP83" s="11"/>
      <c r="BQ83" s="32"/>
      <c r="BR83" s="12">
        <f t="shared" si="78"/>
        <v>56.796568775721767</v>
      </c>
    </row>
    <row r="84" spans="1:70" x14ac:dyDescent="0.3">
      <c r="A84" s="9" t="e">
        <f t="shared" si="75"/>
        <v>#N/A</v>
      </c>
      <c r="B84" s="10"/>
      <c r="C84" s="11"/>
      <c r="E84" s="12">
        <f t="shared" si="79"/>
        <v>53.333300418081251</v>
      </c>
      <c r="N84" s="9" t="e">
        <f t="shared" si="76"/>
        <v>#N/A</v>
      </c>
      <c r="O84" s="10"/>
      <c r="P84" s="11"/>
      <c r="Q84" s="32"/>
      <c r="R84" s="12">
        <f t="shared" ref="R84:R86" si="83">Q$5+P84*Q$4</f>
        <v>55.441590793518081</v>
      </c>
      <c r="AA84" s="9"/>
      <c r="AB84" s="10"/>
      <c r="AC84" s="11"/>
      <c r="AD84" s="32"/>
      <c r="AE84" s="12">
        <f t="shared" si="81"/>
        <v>55.127024234462382</v>
      </c>
      <c r="AN84" s="9"/>
      <c r="AO84" s="10"/>
      <c r="AP84" s="11"/>
      <c r="AR84" s="12">
        <f t="shared" ref="AR84:AR86" si="84">AQ$5+AP84*AQ$4</f>
        <v>56.648108901150771</v>
      </c>
      <c r="BA84" s="9"/>
      <c r="BB84" s="10"/>
      <c r="BC84" s="11"/>
      <c r="BD84" s="32"/>
      <c r="BE84" s="12">
        <f t="shared" ref="BE84:BE86" si="85">BD$5+BC84*BD$4</f>
        <v>58.82304059067468</v>
      </c>
      <c r="BN84" s="9"/>
      <c r="BO84" s="10"/>
      <c r="BP84" s="11"/>
      <c r="BQ84" s="32"/>
      <c r="BR84" s="12">
        <f t="shared" ref="BR84:BR86" si="86">BQ$5+BP84*BQ$4</f>
        <v>56.796568775721767</v>
      </c>
    </row>
    <row r="85" spans="1:70" x14ac:dyDescent="0.3">
      <c r="A85" s="9" t="e">
        <f t="shared" si="75"/>
        <v>#N/A</v>
      </c>
      <c r="B85" s="10"/>
      <c r="C85" s="11"/>
      <c r="E85" s="12">
        <f t="shared" si="79"/>
        <v>53.333300418081251</v>
      </c>
      <c r="N85" s="9" t="e">
        <f t="shared" si="76"/>
        <v>#N/A</v>
      </c>
      <c r="O85" s="10"/>
      <c r="P85" s="11"/>
      <c r="Q85" s="32"/>
      <c r="R85" s="12">
        <f t="shared" si="83"/>
        <v>55.441590793518081</v>
      </c>
      <c r="AA85" s="9"/>
      <c r="AB85" s="10"/>
      <c r="AC85" s="11"/>
      <c r="AD85" s="32"/>
      <c r="AE85" s="12">
        <f t="shared" si="81"/>
        <v>55.127024234462382</v>
      </c>
      <c r="AN85" s="9"/>
      <c r="AO85" s="10"/>
      <c r="AP85" s="11"/>
      <c r="AR85" s="12">
        <f t="shared" si="84"/>
        <v>56.648108901150771</v>
      </c>
      <c r="BA85" s="9"/>
      <c r="BB85" s="10"/>
      <c r="BC85" s="11"/>
      <c r="BD85" s="32"/>
      <c r="BE85" s="12">
        <f t="shared" si="85"/>
        <v>58.82304059067468</v>
      </c>
      <c r="BN85" s="9"/>
      <c r="BO85" s="10"/>
      <c r="BP85" s="11"/>
      <c r="BQ85" s="32"/>
      <c r="BR85" s="12">
        <f t="shared" si="86"/>
        <v>56.796568775721767</v>
      </c>
    </row>
    <row r="86" spans="1:70" x14ac:dyDescent="0.3">
      <c r="A86" s="9" t="e">
        <f t="shared" si="75"/>
        <v>#N/A</v>
      </c>
      <c r="B86" s="10"/>
      <c r="C86" s="11"/>
      <c r="E86" s="12">
        <f t="shared" si="79"/>
        <v>53.333300418081251</v>
      </c>
      <c r="N86" s="9" t="e">
        <f t="shared" si="76"/>
        <v>#N/A</v>
      </c>
      <c r="O86" s="10"/>
      <c r="P86" s="11"/>
      <c r="Q86" s="32"/>
      <c r="R86" s="12">
        <f t="shared" si="83"/>
        <v>55.441590793518081</v>
      </c>
      <c r="AA86" s="9"/>
      <c r="AB86" s="10"/>
      <c r="AC86" s="11"/>
      <c r="AD86" s="32"/>
      <c r="AE86" s="12">
        <f t="shared" si="81"/>
        <v>55.127024234462382</v>
      </c>
      <c r="AN86" s="9"/>
      <c r="AO86" s="10"/>
      <c r="AP86" s="11"/>
      <c r="AR86" s="12">
        <f t="shared" si="84"/>
        <v>56.648108901150771</v>
      </c>
      <c r="BA86" s="9"/>
      <c r="BB86" s="10"/>
      <c r="BC86" s="11"/>
      <c r="BD86" s="32"/>
      <c r="BE86" s="12">
        <f t="shared" si="85"/>
        <v>58.82304059067468</v>
      </c>
      <c r="BN86" s="9"/>
      <c r="BO86" s="10"/>
      <c r="BP86" s="11"/>
      <c r="BQ86" s="32"/>
      <c r="BR86" s="12">
        <f t="shared" si="86"/>
        <v>56.796568775721767</v>
      </c>
    </row>
    <row r="87" spans="1:70" x14ac:dyDescent="0.3">
      <c r="A87" s="9" t="e">
        <f t="shared" ref="A87:A102" si="87">RANK(D87,D$12:D$970,1)</f>
        <v>#N/A</v>
      </c>
      <c r="B87" s="10"/>
      <c r="C87" s="11"/>
      <c r="E87" s="12">
        <f t="shared" ref="E87:E102" si="88">D$5+C87*D$4</f>
        <v>53.333300418081251</v>
      </c>
      <c r="N87" s="9" t="e">
        <f t="shared" ref="N87:N102" si="89">RANK(Q87,Q$12:Q$970,1)</f>
        <v>#N/A</v>
      </c>
      <c r="O87" s="10"/>
      <c r="P87" s="11"/>
      <c r="Q87" s="32"/>
      <c r="R87" s="12">
        <f t="shared" ref="R87:R102" si="90">Q$5+P87*Q$4</f>
        <v>55.441590793518081</v>
      </c>
      <c r="AA87" s="9"/>
      <c r="AB87" s="10"/>
      <c r="AC87" s="11"/>
      <c r="AD87" s="32"/>
      <c r="AE87" s="12">
        <f t="shared" ref="AE87:AE102" si="91">AD$5+AC87*AD$4</f>
        <v>55.127024234462382</v>
      </c>
      <c r="AN87" s="9"/>
      <c r="AO87" s="10"/>
      <c r="AP87" s="11"/>
      <c r="AR87" s="12">
        <f t="shared" ref="AR87:AR102" si="92">AQ$5+AP87*AQ$4</f>
        <v>56.648108901150771</v>
      </c>
      <c r="BA87" s="9"/>
      <c r="BB87" s="10"/>
      <c r="BC87" s="11"/>
      <c r="BD87" s="32"/>
      <c r="BE87" s="12">
        <f t="shared" ref="BE87:BE102" si="93">BD$5+BC87*BD$4</f>
        <v>58.82304059067468</v>
      </c>
      <c r="BN87" s="9"/>
      <c r="BO87" s="10"/>
      <c r="BP87" s="11"/>
      <c r="BQ87" s="32"/>
      <c r="BR87" s="12">
        <f t="shared" ref="BR87:BR102" si="94">BQ$5+BP87*BQ$4</f>
        <v>56.796568775721767</v>
      </c>
    </row>
    <row r="88" spans="1:70" x14ac:dyDescent="0.3">
      <c r="A88" s="9" t="e">
        <f t="shared" si="87"/>
        <v>#N/A</v>
      </c>
      <c r="B88" s="10"/>
      <c r="C88" s="11"/>
      <c r="E88" s="12">
        <f t="shared" si="88"/>
        <v>53.333300418081251</v>
      </c>
      <c r="N88" s="9" t="e">
        <f t="shared" si="89"/>
        <v>#N/A</v>
      </c>
      <c r="O88" s="10"/>
      <c r="P88" s="11"/>
      <c r="Q88" s="32"/>
      <c r="R88" s="12">
        <f t="shared" si="90"/>
        <v>55.441590793518081</v>
      </c>
      <c r="AA88" s="9"/>
      <c r="AB88" s="10"/>
      <c r="AC88" s="11"/>
      <c r="AD88" s="32"/>
      <c r="AE88" s="12">
        <f t="shared" si="91"/>
        <v>55.127024234462382</v>
      </c>
      <c r="AN88" s="9"/>
      <c r="AO88" s="10"/>
      <c r="AP88" s="11"/>
      <c r="AR88" s="12">
        <f t="shared" si="92"/>
        <v>56.648108901150771</v>
      </c>
      <c r="BA88" s="9"/>
      <c r="BB88" s="10"/>
      <c r="BC88" s="11"/>
      <c r="BD88" s="32"/>
      <c r="BE88" s="12">
        <f t="shared" si="93"/>
        <v>58.82304059067468</v>
      </c>
      <c r="BN88" s="9"/>
      <c r="BO88" s="10"/>
      <c r="BP88" s="11"/>
      <c r="BQ88" s="32"/>
      <c r="BR88" s="12">
        <f t="shared" si="94"/>
        <v>56.796568775721767</v>
      </c>
    </row>
    <row r="89" spans="1:70" x14ac:dyDescent="0.3">
      <c r="A89" s="9" t="e">
        <f t="shared" si="87"/>
        <v>#N/A</v>
      </c>
      <c r="B89" s="10"/>
      <c r="C89" s="11"/>
      <c r="E89" s="12">
        <f t="shared" si="88"/>
        <v>53.333300418081251</v>
      </c>
      <c r="N89" s="9" t="e">
        <f t="shared" si="89"/>
        <v>#N/A</v>
      </c>
      <c r="O89" s="10"/>
      <c r="P89" s="11"/>
      <c r="Q89" s="32"/>
      <c r="R89" s="12">
        <f t="shared" si="90"/>
        <v>55.441590793518081</v>
      </c>
      <c r="AA89" s="9"/>
      <c r="AB89" s="10"/>
      <c r="AC89" s="11"/>
      <c r="AD89" s="32"/>
      <c r="AE89" s="12">
        <f t="shared" si="91"/>
        <v>55.127024234462382</v>
      </c>
      <c r="AN89" s="9"/>
      <c r="AO89" s="10"/>
      <c r="AP89" s="11"/>
      <c r="AR89" s="12">
        <f t="shared" si="92"/>
        <v>56.648108901150771</v>
      </c>
      <c r="BA89" s="9"/>
      <c r="BB89" s="10"/>
      <c r="BC89" s="11"/>
      <c r="BD89" s="32"/>
      <c r="BE89" s="12">
        <f t="shared" si="93"/>
        <v>58.82304059067468</v>
      </c>
      <c r="BN89" s="9"/>
      <c r="BO89" s="10"/>
      <c r="BP89" s="11"/>
      <c r="BQ89" s="32"/>
      <c r="BR89" s="12">
        <f t="shared" si="94"/>
        <v>56.796568775721767</v>
      </c>
    </row>
    <row r="90" spans="1:70" x14ac:dyDescent="0.3">
      <c r="A90" s="9" t="e">
        <f t="shared" si="87"/>
        <v>#N/A</v>
      </c>
      <c r="B90" s="10"/>
      <c r="C90" s="11"/>
      <c r="E90" s="12">
        <f t="shared" si="88"/>
        <v>53.333300418081251</v>
      </c>
      <c r="N90" s="9" t="e">
        <f t="shared" si="89"/>
        <v>#N/A</v>
      </c>
      <c r="O90" s="10"/>
      <c r="P90" s="11"/>
      <c r="Q90" s="32"/>
      <c r="R90" s="12">
        <f t="shared" si="90"/>
        <v>55.441590793518081</v>
      </c>
      <c r="AA90" s="9"/>
      <c r="AB90" s="10"/>
      <c r="AC90" s="11"/>
      <c r="AD90" s="32"/>
      <c r="AE90" s="12">
        <f t="shared" si="91"/>
        <v>55.127024234462382</v>
      </c>
      <c r="AN90" s="9"/>
      <c r="AO90" s="10"/>
      <c r="AP90" s="11"/>
      <c r="AR90" s="12">
        <f t="shared" si="92"/>
        <v>56.648108901150771</v>
      </c>
      <c r="BA90" s="9"/>
      <c r="BB90" s="10"/>
      <c r="BC90" s="11"/>
      <c r="BD90" s="32"/>
      <c r="BE90" s="12">
        <f t="shared" si="93"/>
        <v>58.82304059067468</v>
      </c>
      <c r="BN90" s="9"/>
      <c r="BO90" s="10"/>
      <c r="BP90" s="11"/>
      <c r="BQ90" s="32"/>
      <c r="BR90" s="12">
        <f t="shared" si="94"/>
        <v>56.796568775721767</v>
      </c>
    </row>
    <row r="91" spans="1:70" x14ac:dyDescent="0.3">
      <c r="A91" s="9" t="e">
        <f t="shared" si="87"/>
        <v>#N/A</v>
      </c>
      <c r="B91" s="10"/>
      <c r="C91" s="11"/>
      <c r="E91" s="12">
        <f t="shared" si="88"/>
        <v>53.333300418081251</v>
      </c>
      <c r="N91" s="9" t="e">
        <f t="shared" si="89"/>
        <v>#N/A</v>
      </c>
      <c r="O91" s="10"/>
      <c r="P91" s="11"/>
      <c r="Q91" s="32"/>
      <c r="R91" s="12">
        <f t="shared" si="90"/>
        <v>55.441590793518081</v>
      </c>
      <c r="AA91" s="9"/>
      <c r="AB91" s="10"/>
      <c r="AC91" s="11"/>
      <c r="AD91" s="32"/>
      <c r="AE91" s="12">
        <f t="shared" si="91"/>
        <v>55.127024234462382</v>
      </c>
      <c r="AN91" s="9"/>
      <c r="AO91" s="10"/>
      <c r="AP91" s="11"/>
      <c r="AR91" s="12">
        <f t="shared" si="92"/>
        <v>56.648108901150771</v>
      </c>
      <c r="BA91" s="9"/>
      <c r="BB91" s="10"/>
      <c r="BC91" s="11"/>
      <c r="BD91" s="32"/>
      <c r="BE91" s="12">
        <f t="shared" si="93"/>
        <v>58.82304059067468</v>
      </c>
      <c r="BN91" s="9"/>
      <c r="BO91" s="10"/>
      <c r="BP91" s="11"/>
      <c r="BQ91" s="32"/>
      <c r="BR91" s="12">
        <f t="shared" si="94"/>
        <v>56.796568775721767</v>
      </c>
    </row>
    <row r="92" spans="1:70" x14ac:dyDescent="0.3">
      <c r="A92" s="9" t="e">
        <f t="shared" si="87"/>
        <v>#N/A</v>
      </c>
      <c r="B92" s="10"/>
      <c r="C92" s="11"/>
      <c r="E92" s="12">
        <f t="shared" si="88"/>
        <v>53.333300418081251</v>
      </c>
      <c r="N92" s="9" t="e">
        <f t="shared" si="89"/>
        <v>#N/A</v>
      </c>
      <c r="O92" s="10"/>
      <c r="P92" s="11"/>
      <c r="Q92" s="32"/>
      <c r="R92" s="12">
        <f t="shared" si="90"/>
        <v>55.441590793518081</v>
      </c>
      <c r="AA92" s="9"/>
      <c r="AB92" s="10"/>
      <c r="AC92" s="11"/>
      <c r="AD92" s="32"/>
      <c r="AE92" s="12">
        <f t="shared" si="91"/>
        <v>55.127024234462382</v>
      </c>
      <c r="AN92" s="9"/>
      <c r="AO92" s="10"/>
      <c r="AP92" s="11"/>
      <c r="AR92" s="12">
        <f t="shared" si="92"/>
        <v>56.648108901150771</v>
      </c>
      <c r="BA92" s="9"/>
      <c r="BB92" s="10"/>
      <c r="BC92" s="11"/>
      <c r="BD92" s="32"/>
      <c r="BE92" s="12">
        <f t="shared" si="93"/>
        <v>58.82304059067468</v>
      </c>
      <c r="BN92" s="9"/>
      <c r="BO92" s="10"/>
      <c r="BP92" s="11"/>
      <c r="BQ92" s="32"/>
      <c r="BR92" s="12">
        <f t="shared" si="94"/>
        <v>56.796568775721767</v>
      </c>
    </row>
    <row r="93" spans="1:70" x14ac:dyDescent="0.3">
      <c r="A93" s="9" t="e">
        <f t="shared" si="87"/>
        <v>#N/A</v>
      </c>
      <c r="B93" s="10"/>
      <c r="C93" s="11"/>
      <c r="E93" s="12">
        <f t="shared" si="88"/>
        <v>53.333300418081251</v>
      </c>
      <c r="N93" s="9" t="e">
        <f t="shared" si="89"/>
        <v>#N/A</v>
      </c>
      <c r="O93" s="10"/>
      <c r="P93" s="11"/>
      <c r="Q93" s="32"/>
      <c r="R93" s="12">
        <f t="shared" si="90"/>
        <v>55.441590793518081</v>
      </c>
      <c r="AA93" s="9"/>
      <c r="AB93" s="10"/>
      <c r="AC93" s="11"/>
      <c r="AD93" s="32"/>
      <c r="AE93" s="12">
        <f t="shared" si="91"/>
        <v>55.127024234462382</v>
      </c>
      <c r="AN93" s="9"/>
      <c r="AO93" s="10"/>
      <c r="AP93" s="11"/>
      <c r="AR93" s="12">
        <f t="shared" si="92"/>
        <v>56.648108901150771</v>
      </c>
      <c r="BA93" s="9"/>
      <c r="BB93" s="10"/>
      <c r="BC93" s="11"/>
      <c r="BD93" s="32"/>
      <c r="BE93" s="12">
        <f t="shared" si="93"/>
        <v>58.82304059067468</v>
      </c>
      <c r="BN93" s="9"/>
      <c r="BO93" s="10"/>
      <c r="BP93" s="11"/>
      <c r="BQ93" s="32"/>
      <c r="BR93" s="12">
        <f t="shared" si="94"/>
        <v>56.796568775721767</v>
      </c>
    </row>
    <row r="94" spans="1:70" x14ac:dyDescent="0.3">
      <c r="A94" s="9" t="e">
        <f t="shared" si="87"/>
        <v>#N/A</v>
      </c>
      <c r="B94" s="10"/>
      <c r="C94" s="11"/>
      <c r="E94" s="12">
        <f t="shared" si="88"/>
        <v>53.333300418081251</v>
      </c>
      <c r="N94" s="9" t="e">
        <f t="shared" si="89"/>
        <v>#N/A</v>
      </c>
      <c r="O94" s="10"/>
      <c r="P94" s="11"/>
      <c r="Q94" s="32"/>
      <c r="R94" s="12">
        <f t="shared" si="90"/>
        <v>55.441590793518081</v>
      </c>
      <c r="AA94" s="9"/>
      <c r="AB94" s="10"/>
      <c r="AC94" s="11"/>
      <c r="AD94" s="32"/>
      <c r="AE94" s="12">
        <f t="shared" si="91"/>
        <v>55.127024234462382</v>
      </c>
      <c r="AN94" s="9"/>
      <c r="AO94" s="10"/>
      <c r="AP94" s="11"/>
      <c r="AR94" s="12">
        <f t="shared" si="92"/>
        <v>56.648108901150771</v>
      </c>
      <c r="BA94" s="9"/>
      <c r="BB94" s="10"/>
      <c r="BC94" s="11"/>
      <c r="BD94" s="32"/>
      <c r="BE94" s="12">
        <f t="shared" si="93"/>
        <v>58.82304059067468</v>
      </c>
      <c r="BN94" s="9"/>
      <c r="BO94" s="10"/>
      <c r="BP94" s="11"/>
      <c r="BQ94" s="32"/>
      <c r="BR94" s="12">
        <f t="shared" si="94"/>
        <v>56.796568775721767</v>
      </c>
    </row>
    <row r="95" spans="1:70" x14ac:dyDescent="0.3">
      <c r="A95" s="9" t="e">
        <f t="shared" si="87"/>
        <v>#N/A</v>
      </c>
      <c r="B95" s="10"/>
      <c r="C95" s="11"/>
      <c r="E95" s="12">
        <f t="shared" si="88"/>
        <v>53.333300418081251</v>
      </c>
      <c r="N95" s="9" t="e">
        <f t="shared" si="89"/>
        <v>#N/A</v>
      </c>
      <c r="O95" s="10"/>
      <c r="P95" s="11"/>
      <c r="Q95" s="32"/>
      <c r="R95" s="12">
        <f t="shared" si="90"/>
        <v>55.441590793518081</v>
      </c>
      <c r="AA95" s="9"/>
      <c r="AB95" s="10"/>
      <c r="AC95" s="11"/>
      <c r="AD95" s="32"/>
      <c r="AE95" s="12">
        <f t="shared" si="91"/>
        <v>55.127024234462382</v>
      </c>
      <c r="AN95" s="9"/>
      <c r="AO95" s="10"/>
      <c r="AP95" s="11"/>
      <c r="AR95" s="12">
        <f t="shared" si="92"/>
        <v>56.648108901150771</v>
      </c>
      <c r="BA95" s="9"/>
      <c r="BB95" s="10"/>
      <c r="BC95" s="11"/>
      <c r="BD95" s="32"/>
      <c r="BE95" s="12">
        <f t="shared" si="93"/>
        <v>58.82304059067468</v>
      </c>
      <c r="BN95" s="9"/>
      <c r="BO95" s="10"/>
      <c r="BP95" s="11"/>
      <c r="BQ95" s="32"/>
      <c r="BR95" s="12">
        <f t="shared" si="94"/>
        <v>56.796568775721767</v>
      </c>
    </row>
    <row r="96" spans="1:70" x14ac:dyDescent="0.3">
      <c r="A96" s="9" t="e">
        <f t="shared" si="87"/>
        <v>#N/A</v>
      </c>
      <c r="B96" s="10"/>
      <c r="C96" s="11"/>
      <c r="E96" s="12">
        <f t="shared" si="88"/>
        <v>53.333300418081251</v>
      </c>
      <c r="N96" s="9" t="e">
        <f t="shared" si="89"/>
        <v>#N/A</v>
      </c>
      <c r="O96" s="10"/>
      <c r="P96" s="11"/>
      <c r="Q96" s="32"/>
      <c r="R96" s="12">
        <f t="shared" si="90"/>
        <v>55.441590793518081</v>
      </c>
      <c r="AA96" s="9"/>
      <c r="AB96" s="10"/>
      <c r="AC96" s="11"/>
      <c r="AD96" s="32"/>
      <c r="AE96" s="12">
        <f t="shared" si="91"/>
        <v>55.127024234462382</v>
      </c>
      <c r="AN96" s="9"/>
      <c r="AO96" s="10"/>
      <c r="AP96" s="11"/>
      <c r="AR96" s="12">
        <f t="shared" si="92"/>
        <v>56.648108901150771</v>
      </c>
      <c r="BA96" s="9"/>
      <c r="BB96" s="10"/>
      <c r="BC96" s="11"/>
      <c r="BD96" s="32"/>
      <c r="BE96" s="12">
        <f t="shared" si="93"/>
        <v>58.82304059067468</v>
      </c>
      <c r="BN96" s="9"/>
      <c r="BO96" s="10"/>
      <c r="BP96" s="11"/>
      <c r="BQ96" s="32"/>
      <c r="BR96" s="12">
        <f t="shared" si="94"/>
        <v>56.796568775721767</v>
      </c>
    </row>
    <row r="97" spans="1:70" x14ac:dyDescent="0.3">
      <c r="A97" s="9" t="e">
        <f t="shared" si="87"/>
        <v>#N/A</v>
      </c>
      <c r="B97" s="10"/>
      <c r="C97" s="11"/>
      <c r="E97" s="12">
        <f t="shared" si="88"/>
        <v>53.333300418081251</v>
      </c>
      <c r="N97" s="9" t="e">
        <f t="shared" si="89"/>
        <v>#N/A</v>
      </c>
      <c r="O97" s="10"/>
      <c r="P97" s="11"/>
      <c r="Q97" s="32"/>
      <c r="R97" s="12">
        <f t="shared" si="90"/>
        <v>55.441590793518081</v>
      </c>
      <c r="AA97" s="9"/>
      <c r="AB97" s="10"/>
      <c r="AC97" s="11"/>
      <c r="AD97" s="32"/>
      <c r="AE97" s="12">
        <f t="shared" si="91"/>
        <v>55.127024234462382</v>
      </c>
      <c r="AN97" s="9"/>
      <c r="AO97" s="10"/>
      <c r="AP97" s="11"/>
      <c r="AR97" s="12">
        <f t="shared" si="92"/>
        <v>56.648108901150771</v>
      </c>
      <c r="BA97" s="9"/>
      <c r="BB97" s="10"/>
      <c r="BC97" s="11"/>
      <c r="BD97" s="32"/>
      <c r="BE97" s="12">
        <f t="shared" si="93"/>
        <v>58.82304059067468</v>
      </c>
      <c r="BN97" s="9"/>
      <c r="BO97" s="10"/>
      <c r="BP97" s="11"/>
      <c r="BQ97" s="32"/>
      <c r="BR97" s="12">
        <f t="shared" si="94"/>
        <v>56.796568775721767</v>
      </c>
    </row>
    <row r="98" spans="1:70" x14ac:dyDescent="0.3">
      <c r="A98" s="9" t="e">
        <f t="shared" si="87"/>
        <v>#N/A</v>
      </c>
      <c r="B98" s="10"/>
      <c r="C98" s="11"/>
      <c r="E98" s="12">
        <f t="shared" si="88"/>
        <v>53.333300418081251</v>
      </c>
      <c r="N98" s="9" t="e">
        <f t="shared" si="89"/>
        <v>#N/A</v>
      </c>
      <c r="O98" s="10"/>
      <c r="P98" s="11"/>
      <c r="Q98" s="32"/>
      <c r="R98" s="12">
        <f t="shared" si="90"/>
        <v>55.441590793518081</v>
      </c>
      <c r="AA98" s="9"/>
      <c r="AB98" s="10"/>
      <c r="AC98" s="11"/>
      <c r="AD98" s="32"/>
      <c r="AE98" s="12">
        <f t="shared" si="91"/>
        <v>55.127024234462382</v>
      </c>
      <c r="AN98" s="9"/>
      <c r="AO98" s="10"/>
      <c r="AP98" s="11"/>
      <c r="AR98" s="12">
        <f t="shared" si="92"/>
        <v>56.648108901150771</v>
      </c>
      <c r="BA98" s="9"/>
      <c r="BB98" s="10"/>
      <c r="BC98" s="11"/>
      <c r="BD98" s="32"/>
      <c r="BE98" s="12">
        <f t="shared" si="93"/>
        <v>58.82304059067468</v>
      </c>
      <c r="BN98" s="9"/>
      <c r="BO98" s="10"/>
      <c r="BP98" s="11"/>
      <c r="BQ98" s="32"/>
      <c r="BR98" s="12">
        <f t="shared" si="94"/>
        <v>56.796568775721767</v>
      </c>
    </row>
    <row r="99" spans="1:70" x14ac:dyDescent="0.3">
      <c r="A99" s="9" t="e">
        <f t="shared" si="87"/>
        <v>#N/A</v>
      </c>
      <c r="B99" s="10"/>
      <c r="C99" s="11"/>
      <c r="E99" s="12">
        <f t="shared" si="88"/>
        <v>53.333300418081251</v>
      </c>
      <c r="N99" s="9" t="e">
        <f t="shared" si="89"/>
        <v>#N/A</v>
      </c>
      <c r="O99" s="10"/>
      <c r="P99" s="11"/>
      <c r="Q99" s="32"/>
      <c r="R99" s="12">
        <f t="shared" si="90"/>
        <v>55.441590793518081</v>
      </c>
      <c r="AA99" s="9"/>
      <c r="AB99" s="10"/>
      <c r="AC99" s="11"/>
      <c r="AD99" s="32"/>
      <c r="AE99" s="12">
        <f t="shared" si="91"/>
        <v>55.127024234462382</v>
      </c>
      <c r="AN99" s="9"/>
      <c r="AO99" s="10"/>
      <c r="AP99" s="11"/>
      <c r="AR99" s="12">
        <f t="shared" si="92"/>
        <v>56.648108901150771</v>
      </c>
      <c r="BA99" s="9"/>
      <c r="BB99" s="10"/>
      <c r="BC99" s="11"/>
      <c r="BD99" s="32"/>
      <c r="BE99" s="12">
        <f t="shared" si="93"/>
        <v>58.82304059067468</v>
      </c>
      <c r="BN99" s="9"/>
      <c r="BO99" s="10"/>
      <c r="BP99" s="11"/>
      <c r="BQ99" s="32"/>
      <c r="BR99" s="12">
        <f t="shared" si="94"/>
        <v>56.796568775721767</v>
      </c>
    </row>
    <row r="100" spans="1:70" x14ac:dyDescent="0.3">
      <c r="A100" s="9" t="e">
        <f t="shared" si="87"/>
        <v>#N/A</v>
      </c>
      <c r="B100" s="10"/>
      <c r="C100" s="11"/>
      <c r="E100" s="12">
        <f t="shared" si="88"/>
        <v>53.333300418081251</v>
      </c>
      <c r="N100" s="9" t="e">
        <f t="shared" si="89"/>
        <v>#N/A</v>
      </c>
      <c r="O100" s="10"/>
      <c r="P100" s="11"/>
      <c r="Q100" s="32"/>
      <c r="R100" s="12">
        <f t="shared" si="90"/>
        <v>55.441590793518081</v>
      </c>
      <c r="AA100" s="9"/>
      <c r="AB100" s="10"/>
      <c r="AC100" s="11"/>
      <c r="AD100" s="32"/>
      <c r="AE100" s="12">
        <f t="shared" si="91"/>
        <v>55.127024234462382</v>
      </c>
      <c r="AN100" s="9"/>
      <c r="AO100" s="10"/>
      <c r="AP100" s="11"/>
      <c r="AR100" s="12">
        <f t="shared" si="92"/>
        <v>56.648108901150771</v>
      </c>
      <c r="BA100" s="9"/>
      <c r="BB100" s="10"/>
      <c r="BC100" s="11"/>
      <c r="BD100" s="32"/>
      <c r="BE100" s="12">
        <f t="shared" si="93"/>
        <v>58.82304059067468</v>
      </c>
      <c r="BN100" s="9"/>
      <c r="BO100" s="10"/>
      <c r="BP100" s="11"/>
      <c r="BQ100" s="32"/>
      <c r="BR100" s="12">
        <f t="shared" si="94"/>
        <v>56.796568775721767</v>
      </c>
    </row>
    <row r="101" spans="1:70" x14ac:dyDescent="0.3">
      <c r="A101" s="9" t="e">
        <f t="shared" si="87"/>
        <v>#N/A</v>
      </c>
      <c r="B101" s="10"/>
      <c r="C101" s="11"/>
      <c r="E101" s="12">
        <f t="shared" si="88"/>
        <v>53.333300418081251</v>
      </c>
      <c r="N101" s="9" t="e">
        <f t="shared" si="89"/>
        <v>#N/A</v>
      </c>
      <c r="O101" s="10"/>
      <c r="P101" s="11"/>
      <c r="Q101" s="32"/>
      <c r="R101" s="12">
        <f t="shared" si="90"/>
        <v>55.441590793518081</v>
      </c>
      <c r="AA101" s="9"/>
      <c r="AB101" s="10"/>
      <c r="AC101" s="11"/>
      <c r="AD101" s="32"/>
      <c r="AE101" s="12">
        <f t="shared" si="91"/>
        <v>55.127024234462382</v>
      </c>
      <c r="AN101" s="9"/>
      <c r="AO101" s="10"/>
      <c r="AP101" s="11"/>
      <c r="AR101" s="12">
        <f t="shared" si="92"/>
        <v>56.648108901150771</v>
      </c>
      <c r="BA101" s="9"/>
      <c r="BB101" s="10"/>
      <c r="BC101" s="11"/>
      <c r="BD101" s="32"/>
      <c r="BE101" s="12">
        <f t="shared" si="93"/>
        <v>58.82304059067468</v>
      </c>
      <c r="BN101" s="9"/>
      <c r="BO101" s="10"/>
      <c r="BP101" s="11"/>
      <c r="BQ101" s="32"/>
      <c r="BR101" s="12">
        <f t="shared" si="94"/>
        <v>56.796568775721767</v>
      </c>
    </row>
    <row r="102" spans="1:70" x14ac:dyDescent="0.3">
      <c r="A102" s="9" t="e">
        <f t="shared" si="87"/>
        <v>#N/A</v>
      </c>
      <c r="B102" s="10"/>
      <c r="C102" s="11"/>
      <c r="E102" s="12">
        <f t="shared" si="88"/>
        <v>53.333300418081251</v>
      </c>
      <c r="N102" s="9" t="e">
        <f t="shared" si="89"/>
        <v>#N/A</v>
      </c>
      <c r="O102" s="10"/>
      <c r="P102" s="11"/>
      <c r="Q102" s="32"/>
      <c r="R102" s="12">
        <f t="shared" si="90"/>
        <v>55.441590793518081</v>
      </c>
      <c r="AA102" s="9"/>
      <c r="AB102" s="10"/>
      <c r="AC102" s="11"/>
      <c r="AD102" s="32"/>
      <c r="AE102" s="12">
        <f t="shared" si="91"/>
        <v>55.127024234462382</v>
      </c>
      <c r="AN102" s="9"/>
      <c r="AO102" s="10"/>
      <c r="AP102" s="11"/>
      <c r="AR102" s="12">
        <f t="shared" si="92"/>
        <v>56.648108901150771</v>
      </c>
      <c r="BA102" s="9"/>
      <c r="BB102" s="10"/>
      <c r="BC102" s="11"/>
      <c r="BD102" s="32"/>
      <c r="BE102" s="12">
        <f t="shared" si="93"/>
        <v>58.82304059067468</v>
      </c>
      <c r="BN102" s="9"/>
      <c r="BO102" s="10"/>
      <c r="BP102" s="11"/>
      <c r="BQ102" s="32"/>
      <c r="BR102" s="12">
        <f t="shared" si="94"/>
        <v>56.796568775721767</v>
      </c>
    </row>
    <row r="103" spans="1:70" x14ac:dyDescent="0.3">
      <c r="A103" s="9" t="e">
        <f t="shared" ref="A103:A109" si="95">RANK(D103,D$12:D$970,1)</f>
        <v>#N/A</v>
      </c>
      <c r="B103" s="10"/>
      <c r="C103" s="11"/>
      <c r="E103" s="12">
        <f t="shared" ref="E103:E109" si="96">D$5+C103*D$4</f>
        <v>53.333300418081251</v>
      </c>
      <c r="N103" s="9" t="e">
        <f t="shared" ref="N103:N109" si="97">RANK(Q103,Q$12:Q$970,1)</f>
        <v>#N/A</v>
      </c>
      <c r="O103" s="10"/>
      <c r="P103" s="11"/>
      <c r="Q103" s="32"/>
      <c r="R103" s="12">
        <f t="shared" ref="R103:R109" si="98">Q$5+P103*Q$4</f>
        <v>55.441590793518081</v>
      </c>
      <c r="AA103" s="9"/>
      <c r="AB103" s="10"/>
      <c r="AC103" s="11"/>
      <c r="AD103" s="32"/>
      <c r="AE103" s="12">
        <f t="shared" ref="AE103:AE109" si="99">AD$5+AC103*AD$4</f>
        <v>55.127024234462382</v>
      </c>
      <c r="AN103" s="9"/>
      <c r="AO103" s="10"/>
      <c r="AP103" s="11"/>
      <c r="AR103" s="12">
        <f t="shared" ref="AR103:AR109" si="100">AQ$5+AP103*AQ$4</f>
        <v>56.648108901150771</v>
      </c>
      <c r="BA103" s="9"/>
      <c r="BB103" s="10"/>
      <c r="BC103" s="11"/>
      <c r="BD103" s="32"/>
      <c r="BE103" s="12">
        <f t="shared" ref="BE103:BE109" si="101">BD$5+BC103*BD$4</f>
        <v>58.82304059067468</v>
      </c>
      <c r="BN103" s="9"/>
      <c r="BO103" s="10"/>
      <c r="BP103" s="11"/>
      <c r="BQ103" s="32"/>
      <c r="BR103" s="12">
        <f t="shared" ref="BR103:BR109" si="102">BQ$5+BP103*BQ$4</f>
        <v>56.796568775721767</v>
      </c>
    </row>
    <row r="104" spans="1:70" x14ac:dyDescent="0.3">
      <c r="A104" s="9" t="e">
        <f t="shared" si="95"/>
        <v>#N/A</v>
      </c>
      <c r="B104" s="10"/>
      <c r="C104" s="11"/>
      <c r="E104" s="12">
        <f t="shared" si="96"/>
        <v>53.333300418081251</v>
      </c>
      <c r="N104" s="9" t="e">
        <f t="shared" si="97"/>
        <v>#N/A</v>
      </c>
      <c r="O104" s="10"/>
      <c r="P104" s="11"/>
      <c r="Q104" s="32"/>
      <c r="R104" s="12">
        <f t="shared" si="98"/>
        <v>55.441590793518081</v>
      </c>
      <c r="AA104" s="9"/>
      <c r="AB104" s="10"/>
      <c r="AC104" s="11"/>
      <c r="AD104" s="32"/>
      <c r="AE104" s="12">
        <f t="shared" si="99"/>
        <v>55.127024234462382</v>
      </c>
      <c r="AN104" s="9"/>
      <c r="AO104" s="10"/>
      <c r="AP104" s="11"/>
      <c r="AR104" s="12">
        <f t="shared" si="100"/>
        <v>56.648108901150771</v>
      </c>
      <c r="BA104" s="9"/>
      <c r="BB104" s="10"/>
      <c r="BC104" s="11"/>
      <c r="BD104" s="32"/>
      <c r="BE104" s="12">
        <f t="shared" si="101"/>
        <v>58.82304059067468</v>
      </c>
      <c r="BN104" s="9"/>
      <c r="BO104" s="10"/>
      <c r="BP104" s="11"/>
      <c r="BQ104" s="32"/>
      <c r="BR104" s="12">
        <f t="shared" si="102"/>
        <v>56.796568775721767</v>
      </c>
    </row>
    <row r="105" spans="1:70" x14ac:dyDescent="0.3">
      <c r="A105" s="9" t="e">
        <f t="shared" si="95"/>
        <v>#N/A</v>
      </c>
      <c r="B105" s="10"/>
      <c r="C105" s="11"/>
      <c r="E105" s="12">
        <f t="shared" si="96"/>
        <v>53.333300418081251</v>
      </c>
      <c r="N105" s="9" t="e">
        <f t="shared" si="97"/>
        <v>#N/A</v>
      </c>
      <c r="O105" s="10"/>
      <c r="P105" s="11"/>
      <c r="Q105" s="32"/>
      <c r="R105" s="12">
        <f t="shared" si="98"/>
        <v>55.441590793518081</v>
      </c>
      <c r="AA105" s="9"/>
      <c r="AB105" s="10"/>
      <c r="AC105" s="11"/>
      <c r="AD105" s="32"/>
      <c r="AE105" s="12">
        <f t="shared" si="99"/>
        <v>55.127024234462382</v>
      </c>
      <c r="AN105" s="9"/>
      <c r="AO105" s="10"/>
      <c r="AP105" s="11"/>
      <c r="AR105" s="12">
        <f t="shared" si="100"/>
        <v>56.648108901150771</v>
      </c>
      <c r="BA105" s="9"/>
      <c r="BB105" s="10"/>
      <c r="BC105" s="11"/>
      <c r="BD105" s="32"/>
      <c r="BE105" s="12">
        <f t="shared" si="101"/>
        <v>58.82304059067468</v>
      </c>
      <c r="BN105" s="9"/>
      <c r="BO105" s="10"/>
      <c r="BP105" s="11"/>
      <c r="BQ105" s="32"/>
      <c r="BR105" s="12">
        <f t="shared" si="102"/>
        <v>56.796568775721767</v>
      </c>
    </row>
    <row r="106" spans="1:70" x14ac:dyDescent="0.3">
      <c r="A106" s="9" t="e">
        <f t="shared" si="95"/>
        <v>#N/A</v>
      </c>
      <c r="B106" s="10"/>
      <c r="C106" s="11"/>
      <c r="E106" s="12">
        <f t="shared" si="96"/>
        <v>53.333300418081251</v>
      </c>
      <c r="N106" s="9" t="e">
        <f t="shared" si="97"/>
        <v>#N/A</v>
      </c>
      <c r="O106" s="10"/>
      <c r="P106" s="11"/>
      <c r="Q106" s="32"/>
      <c r="R106" s="12">
        <f t="shared" si="98"/>
        <v>55.441590793518081</v>
      </c>
      <c r="AA106" s="9"/>
      <c r="AB106" s="10"/>
      <c r="AC106" s="11"/>
      <c r="AD106" s="32"/>
      <c r="AE106" s="12">
        <f t="shared" si="99"/>
        <v>55.127024234462382</v>
      </c>
      <c r="AN106" s="9"/>
      <c r="AO106" s="10"/>
      <c r="AP106" s="11"/>
      <c r="AR106" s="12">
        <f t="shared" si="100"/>
        <v>56.648108901150771</v>
      </c>
      <c r="BA106" s="9"/>
      <c r="BB106" s="10"/>
      <c r="BC106" s="11"/>
      <c r="BD106" s="32"/>
      <c r="BE106" s="12">
        <f t="shared" si="101"/>
        <v>58.82304059067468</v>
      </c>
      <c r="BN106" s="9"/>
      <c r="BO106" s="10"/>
      <c r="BP106" s="11"/>
      <c r="BQ106" s="32"/>
      <c r="BR106" s="12">
        <f t="shared" si="102"/>
        <v>56.796568775721767</v>
      </c>
    </row>
    <row r="107" spans="1:70" x14ac:dyDescent="0.3">
      <c r="A107" s="9" t="e">
        <f t="shared" si="95"/>
        <v>#N/A</v>
      </c>
      <c r="B107" s="10"/>
      <c r="C107" s="11"/>
      <c r="E107" s="12">
        <f t="shared" si="96"/>
        <v>53.333300418081251</v>
      </c>
      <c r="N107" s="9" t="e">
        <f t="shared" si="97"/>
        <v>#N/A</v>
      </c>
      <c r="O107" s="10"/>
      <c r="P107" s="11"/>
      <c r="Q107" s="32"/>
      <c r="R107" s="12">
        <f t="shared" si="98"/>
        <v>55.441590793518081</v>
      </c>
      <c r="AA107" s="9"/>
      <c r="AB107" s="10"/>
      <c r="AC107" s="11"/>
      <c r="AD107" s="32"/>
      <c r="AE107" s="12">
        <f t="shared" si="99"/>
        <v>55.127024234462382</v>
      </c>
      <c r="AN107" s="9"/>
      <c r="AO107" s="10"/>
      <c r="AP107" s="11"/>
      <c r="AR107" s="12">
        <f t="shared" si="100"/>
        <v>56.648108901150771</v>
      </c>
      <c r="BA107" s="9"/>
      <c r="BB107" s="10"/>
      <c r="BC107" s="11"/>
      <c r="BD107" s="32"/>
      <c r="BE107" s="12">
        <f t="shared" si="101"/>
        <v>58.82304059067468</v>
      </c>
      <c r="BN107" s="9"/>
      <c r="BO107" s="10"/>
      <c r="BP107" s="11"/>
      <c r="BQ107" s="32"/>
      <c r="BR107" s="12">
        <f t="shared" si="102"/>
        <v>56.796568775721767</v>
      </c>
    </row>
    <row r="108" spans="1:70" x14ac:dyDescent="0.3">
      <c r="A108" s="9" t="e">
        <f t="shared" si="95"/>
        <v>#N/A</v>
      </c>
      <c r="B108" s="10"/>
      <c r="C108" s="11"/>
      <c r="E108" s="12">
        <f t="shared" si="96"/>
        <v>53.333300418081251</v>
      </c>
      <c r="N108" s="9" t="e">
        <f t="shared" si="97"/>
        <v>#N/A</v>
      </c>
      <c r="O108" s="10"/>
      <c r="P108" s="11"/>
      <c r="Q108" s="32"/>
      <c r="R108" s="12">
        <f t="shared" si="98"/>
        <v>55.441590793518081</v>
      </c>
      <c r="AA108" s="9"/>
      <c r="AB108" s="10"/>
      <c r="AC108" s="11"/>
      <c r="AD108" s="32"/>
      <c r="AE108" s="12">
        <f t="shared" si="99"/>
        <v>55.127024234462382</v>
      </c>
      <c r="AN108" s="9"/>
      <c r="AO108" s="10"/>
      <c r="AP108" s="11"/>
      <c r="AR108" s="12">
        <f t="shared" si="100"/>
        <v>56.648108901150771</v>
      </c>
      <c r="BA108" s="9"/>
      <c r="BB108" s="10"/>
      <c r="BC108" s="11"/>
      <c r="BD108" s="32"/>
      <c r="BE108" s="12">
        <f t="shared" si="101"/>
        <v>58.82304059067468</v>
      </c>
      <c r="BN108" s="9"/>
      <c r="BO108" s="10"/>
      <c r="BP108" s="11"/>
      <c r="BQ108" s="32"/>
      <c r="BR108" s="12">
        <f t="shared" si="102"/>
        <v>56.796568775721767</v>
      </c>
    </row>
    <row r="109" spans="1:70" x14ac:dyDescent="0.3">
      <c r="A109" s="9" t="e">
        <f t="shared" si="95"/>
        <v>#N/A</v>
      </c>
      <c r="B109" s="10"/>
      <c r="C109" s="11"/>
      <c r="E109" s="12">
        <f t="shared" si="96"/>
        <v>53.333300418081251</v>
      </c>
      <c r="N109" s="9" t="e">
        <f t="shared" si="97"/>
        <v>#N/A</v>
      </c>
      <c r="O109" s="10"/>
      <c r="P109" s="11"/>
      <c r="Q109" s="32"/>
      <c r="R109" s="12">
        <f t="shared" si="98"/>
        <v>55.441590793518081</v>
      </c>
      <c r="AA109" s="9"/>
      <c r="AB109" s="10"/>
      <c r="AC109" s="11"/>
      <c r="AD109" s="32"/>
      <c r="AE109" s="12">
        <f t="shared" si="99"/>
        <v>55.127024234462382</v>
      </c>
      <c r="AN109" s="9"/>
      <c r="AO109" s="10"/>
      <c r="AP109" s="11"/>
      <c r="AR109" s="12">
        <f t="shared" si="100"/>
        <v>56.648108901150771</v>
      </c>
      <c r="BA109" s="9"/>
      <c r="BB109" s="10"/>
      <c r="BC109" s="11"/>
      <c r="BD109" s="32"/>
      <c r="BE109" s="12">
        <f t="shared" si="101"/>
        <v>58.82304059067468</v>
      </c>
      <c r="BN109" s="9"/>
      <c r="BO109" s="10"/>
      <c r="BP109" s="11"/>
      <c r="BQ109" s="32"/>
      <c r="BR109" s="12">
        <f t="shared" si="102"/>
        <v>56.796568775721767</v>
      </c>
    </row>
    <row r="110" spans="1:70" x14ac:dyDescent="0.3">
      <c r="A110" s="9"/>
      <c r="B110" s="10"/>
      <c r="C110" s="11"/>
      <c r="E110" s="12"/>
      <c r="N110" s="9"/>
      <c r="O110" s="10"/>
      <c r="P110" s="11"/>
      <c r="Q110" s="32"/>
      <c r="R110" s="12"/>
      <c r="AA110" s="9"/>
      <c r="AB110" s="10"/>
      <c r="AC110" s="11"/>
      <c r="AD110" s="32"/>
      <c r="AE110" s="12"/>
      <c r="AN110" s="9"/>
      <c r="AO110" s="10"/>
      <c r="AP110" s="11"/>
      <c r="AR110" s="12"/>
      <c r="BA110" s="9"/>
      <c r="BB110" s="10"/>
      <c r="BC110" s="11"/>
      <c r="BD110" s="32"/>
      <c r="BE110" s="12"/>
      <c r="BN110" s="9"/>
      <c r="BO110" s="10"/>
      <c r="BP110" s="11"/>
      <c r="BQ110" s="32"/>
      <c r="BR110" s="12"/>
    </row>
    <row r="111" spans="1:70" x14ac:dyDescent="0.3">
      <c r="A111" s="9"/>
      <c r="B111" s="10"/>
      <c r="C111" s="11"/>
      <c r="E111" s="12"/>
      <c r="N111" s="9"/>
      <c r="O111" s="10"/>
      <c r="P111" s="11"/>
      <c r="Q111" s="32"/>
      <c r="R111" s="12"/>
      <c r="AA111" s="9"/>
      <c r="AB111" s="10"/>
      <c r="AC111" s="11"/>
      <c r="AD111" s="32"/>
      <c r="AE111" s="12"/>
      <c r="AN111" s="9"/>
      <c r="AO111" s="10"/>
      <c r="AP111" s="11"/>
      <c r="AR111" s="12"/>
      <c r="BA111" s="9"/>
      <c r="BB111" s="10"/>
      <c r="BC111" s="11"/>
      <c r="BD111" s="32"/>
      <c r="BE111" s="12"/>
      <c r="BN111" s="9"/>
      <c r="BO111" s="10"/>
      <c r="BP111" s="11"/>
      <c r="BQ111" s="32"/>
      <c r="BR111" s="12"/>
    </row>
    <row r="112" spans="1:70" x14ac:dyDescent="0.3">
      <c r="A112" s="9"/>
      <c r="B112" s="10"/>
      <c r="C112" s="11"/>
      <c r="E112" s="12"/>
      <c r="N112" s="9"/>
      <c r="O112" s="10"/>
      <c r="P112" s="11"/>
      <c r="Q112" s="32"/>
      <c r="R112" s="12"/>
      <c r="AA112" s="9"/>
      <c r="AB112" s="10"/>
      <c r="AC112" s="11"/>
      <c r="AD112" s="32"/>
      <c r="AE112" s="12"/>
      <c r="AN112" s="9"/>
      <c r="AO112" s="10"/>
      <c r="AP112" s="11"/>
      <c r="AR112" s="12"/>
      <c r="BA112" s="9"/>
      <c r="BB112" s="10"/>
      <c r="BC112" s="11"/>
      <c r="BD112" s="32"/>
      <c r="BE112" s="12"/>
      <c r="BN112" s="9"/>
      <c r="BO112" s="10"/>
      <c r="BP112" s="11"/>
      <c r="BQ112" s="32"/>
      <c r="BR112" s="12"/>
    </row>
    <row r="113" spans="1:70" x14ac:dyDescent="0.3">
      <c r="A113" s="9"/>
      <c r="B113" s="10"/>
      <c r="C113" s="11"/>
      <c r="E113" s="12"/>
      <c r="N113" s="9"/>
      <c r="O113" s="10"/>
      <c r="P113" s="11"/>
      <c r="Q113" s="32"/>
      <c r="R113" s="12"/>
      <c r="AA113" s="9"/>
      <c r="AB113" s="10"/>
      <c r="AC113" s="11"/>
      <c r="AD113" s="32"/>
      <c r="AE113" s="12"/>
      <c r="AN113" s="9"/>
      <c r="AO113" s="10"/>
      <c r="AP113" s="11"/>
      <c r="AR113" s="12"/>
      <c r="BA113" s="9"/>
      <c r="BB113" s="10"/>
      <c r="BC113" s="11"/>
      <c r="BD113" s="32"/>
      <c r="BE113" s="12"/>
      <c r="BN113" s="9"/>
      <c r="BO113" s="10"/>
      <c r="BP113" s="11"/>
      <c r="BQ113" s="32"/>
      <c r="BR113" s="12"/>
    </row>
    <row r="114" spans="1:70" x14ac:dyDescent="0.3">
      <c r="A114" s="9"/>
      <c r="B114" s="10"/>
      <c r="C114" s="11"/>
      <c r="E114" s="12"/>
      <c r="N114" s="9"/>
      <c r="O114" s="10"/>
      <c r="P114" s="11"/>
      <c r="Q114" s="32"/>
      <c r="R114" s="12"/>
      <c r="AA114" s="9"/>
      <c r="AB114" s="10"/>
      <c r="AC114" s="11"/>
      <c r="AD114" s="32"/>
      <c r="AE114" s="12"/>
      <c r="AN114" s="9"/>
      <c r="AO114" s="10"/>
      <c r="AP114" s="11"/>
      <c r="AR114" s="12"/>
      <c r="BA114" s="9"/>
      <c r="BB114" s="10"/>
      <c r="BC114" s="11"/>
      <c r="BD114" s="32"/>
      <c r="BE114" s="12"/>
      <c r="BN114" s="9"/>
      <c r="BO114" s="10"/>
      <c r="BP114" s="11"/>
      <c r="BQ114" s="32"/>
      <c r="BR114" s="12"/>
    </row>
    <row r="115" spans="1:70" x14ac:dyDescent="0.3">
      <c r="A115" s="9"/>
      <c r="B115" s="10"/>
      <c r="C115" s="11"/>
      <c r="E115" s="12"/>
      <c r="N115" s="9"/>
      <c r="O115" s="10"/>
      <c r="P115" s="11"/>
      <c r="Q115" s="32"/>
      <c r="R115" s="12"/>
      <c r="AA115" s="9"/>
      <c r="AB115" s="10"/>
      <c r="AC115" s="11"/>
      <c r="AD115" s="32"/>
      <c r="AE115" s="12"/>
      <c r="AN115" s="9"/>
      <c r="AO115" s="10"/>
      <c r="AP115" s="11"/>
      <c r="AR115" s="12"/>
      <c r="BA115" s="9"/>
      <c r="BB115" s="10"/>
      <c r="BC115" s="11"/>
      <c r="BD115" s="32"/>
      <c r="BE115" s="12"/>
      <c r="BN115" s="9"/>
      <c r="BO115" s="10"/>
      <c r="BP115" s="11"/>
      <c r="BQ115" s="32"/>
      <c r="BR115" s="12"/>
    </row>
    <row r="116" spans="1:70" x14ac:dyDescent="0.3">
      <c r="A116" s="9"/>
      <c r="B116" s="10"/>
      <c r="C116" s="11"/>
      <c r="E116" s="12"/>
      <c r="N116" s="9"/>
      <c r="O116" s="10"/>
      <c r="P116" s="11"/>
      <c r="Q116" s="32"/>
      <c r="R116" s="12"/>
      <c r="AA116" s="9"/>
      <c r="AB116" s="10"/>
      <c r="AC116" s="11"/>
      <c r="AD116" s="32"/>
      <c r="AE116" s="12"/>
      <c r="AN116" s="9"/>
      <c r="AO116" s="10"/>
      <c r="AP116" s="11"/>
      <c r="AR116" s="12"/>
      <c r="BA116" s="9"/>
      <c r="BB116" s="10"/>
      <c r="BC116" s="11"/>
      <c r="BD116" s="32"/>
      <c r="BE116" s="12"/>
      <c r="BN116" s="9"/>
      <c r="BO116" s="10"/>
      <c r="BP116" s="11"/>
      <c r="BQ116" s="32"/>
      <c r="BR116" s="12"/>
    </row>
    <row r="117" spans="1:70" x14ac:dyDescent="0.3">
      <c r="A117" s="9"/>
      <c r="B117" s="10"/>
      <c r="C117" s="11"/>
      <c r="E117" s="12"/>
      <c r="N117" s="9"/>
      <c r="O117" s="10"/>
      <c r="P117" s="11"/>
      <c r="Q117" s="32"/>
      <c r="R117" s="12"/>
      <c r="AA117" s="9"/>
      <c r="AB117" s="10"/>
      <c r="AC117" s="11"/>
      <c r="AD117" s="32"/>
      <c r="AE117" s="12"/>
      <c r="AN117" s="9"/>
      <c r="AO117" s="10"/>
      <c r="AP117" s="11"/>
      <c r="AR117" s="12"/>
      <c r="BA117" s="9"/>
      <c r="BB117" s="10"/>
      <c r="BC117" s="11"/>
      <c r="BD117" s="32"/>
      <c r="BE117" s="12"/>
      <c r="BN117" s="9"/>
      <c r="BO117" s="10"/>
      <c r="BP117" s="11"/>
      <c r="BQ117" s="32"/>
      <c r="BR117" s="12"/>
    </row>
    <row r="118" spans="1:70" x14ac:dyDescent="0.3">
      <c r="A118" s="9"/>
      <c r="B118" s="10"/>
      <c r="C118" s="11"/>
      <c r="E118" s="12"/>
      <c r="N118" s="9"/>
      <c r="O118" s="10"/>
      <c r="P118" s="11"/>
      <c r="Q118" s="32"/>
      <c r="R118" s="12"/>
      <c r="AA118" s="9"/>
      <c r="AB118" s="10"/>
      <c r="AC118" s="11"/>
      <c r="AD118" s="32"/>
      <c r="AE118" s="12"/>
      <c r="AN118" s="9"/>
      <c r="AO118" s="10"/>
      <c r="AP118" s="11"/>
      <c r="AR118" s="12"/>
      <c r="BA118" s="9"/>
      <c r="BB118" s="10"/>
      <c r="BC118" s="11"/>
      <c r="BD118" s="32"/>
      <c r="BE118" s="12"/>
      <c r="BN118" s="9"/>
      <c r="BO118" s="10"/>
      <c r="BP118" s="11"/>
      <c r="BQ118" s="32"/>
      <c r="BR118" s="12"/>
    </row>
    <row r="119" spans="1:70" x14ac:dyDescent="0.3">
      <c r="A119" s="9"/>
      <c r="B119" s="10"/>
      <c r="C119" s="11"/>
      <c r="E119" s="12"/>
      <c r="N119" s="9"/>
      <c r="O119" s="10"/>
      <c r="P119" s="11"/>
      <c r="Q119" s="32"/>
      <c r="R119" s="12"/>
      <c r="AA119" s="9"/>
      <c r="AB119" s="10"/>
      <c r="AC119" s="11"/>
      <c r="AD119" s="32"/>
      <c r="AE119" s="12"/>
      <c r="AN119" s="9"/>
      <c r="AO119" s="10"/>
      <c r="AP119" s="11"/>
      <c r="AR119" s="12"/>
      <c r="BA119" s="9"/>
      <c r="BB119" s="10"/>
      <c r="BC119" s="11"/>
      <c r="BD119" s="32"/>
      <c r="BE119" s="12"/>
      <c r="BN119" s="9"/>
      <c r="BO119" s="10"/>
      <c r="BP119" s="11"/>
      <c r="BQ119" s="32"/>
      <c r="BR119" s="12"/>
    </row>
    <row r="120" spans="1:70" x14ac:dyDescent="0.3">
      <c r="A120" s="9"/>
      <c r="B120" s="10"/>
      <c r="C120" s="11"/>
      <c r="E120" s="12"/>
      <c r="N120" s="9"/>
      <c r="O120" s="10"/>
      <c r="P120" s="11"/>
      <c r="Q120" s="32"/>
      <c r="R120" s="12"/>
      <c r="AA120" s="9"/>
      <c r="AB120" s="10"/>
      <c r="AC120" s="11"/>
      <c r="AD120" s="32"/>
      <c r="AE120" s="12"/>
      <c r="AN120" s="9"/>
      <c r="AO120" s="10"/>
      <c r="AP120" s="11"/>
      <c r="AR120" s="12"/>
      <c r="BA120" s="9"/>
      <c r="BB120" s="10"/>
      <c r="BC120" s="11"/>
      <c r="BD120" s="32"/>
      <c r="BE120" s="12"/>
      <c r="BN120" s="9"/>
      <c r="BO120" s="10"/>
      <c r="BP120" s="11"/>
      <c r="BQ120" s="32"/>
      <c r="BR120" s="12"/>
    </row>
    <row r="121" spans="1:70" x14ac:dyDescent="0.3">
      <c r="A121" s="9"/>
      <c r="B121" s="10"/>
      <c r="C121" s="11"/>
      <c r="E121" s="12"/>
      <c r="N121" s="9"/>
      <c r="O121" s="10"/>
      <c r="P121" s="11"/>
      <c r="Q121" s="32"/>
      <c r="R121" s="12"/>
      <c r="AA121" s="9"/>
      <c r="AB121" s="10"/>
      <c r="AC121" s="11"/>
      <c r="AD121" s="32"/>
      <c r="AE121" s="12"/>
      <c r="AN121" s="9"/>
      <c r="AO121" s="10"/>
      <c r="AP121" s="11"/>
      <c r="AR121" s="12"/>
      <c r="BA121" s="9"/>
      <c r="BB121" s="10"/>
      <c r="BC121" s="11"/>
      <c r="BD121" s="32"/>
      <c r="BE121" s="12"/>
      <c r="BN121" s="9"/>
      <c r="BO121" s="10"/>
      <c r="BP121" s="11"/>
      <c r="BQ121" s="32"/>
      <c r="BR121" s="12"/>
    </row>
    <row r="122" spans="1:70" x14ac:dyDescent="0.3">
      <c r="A122" s="9"/>
      <c r="B122" s="10"/>
      <c r="C122" s="11"/>
      <c r="E122" s="12"/>
      <c r="N122" s="9"/>
      <c r="O122" s="10"/>
      <c r="P122" s="11"/>
      <c r="Q122" s="32"/>
      <c r="R122" s="12"/>
      <c r="AA122" s="9"/>
      <c r="AB122" s="10"/>
      <c r="AC122" s="11"/>
      <c r="AD122" s="32"/>
      <c r="AE122" s="12"/>
      <c r="AN122" s="9"/>
      <c r="AO122" s="10"/>
      <c r="AP122" s="11"/>
      <c r="AR122" s="12"/>
      <c r="BA122" s="9"/>
      <c r="BB122" s="10"/>
      <c r="BC122" s="11"/>
      <c r="BD122" s="32"/>
      <c r="BE122" s="12"/>
      <c r="BN122" s="9"/>
      <c r="BO122" s="10"/>
      <c r="BP122" s="11"/>
      <c r="BQ122" s="32"/>
      <c r="BR122" s="12"/>
    </row>
    <row r="123" spans="1:70" x14ac:dyDescent="0.3">
      <c r="A123" s="9"/>
      <c r="B123" s="10"/>
      <c r="C123" s="11"/>
      <c r="E123" s="12"/>
      <c r="N123" s="9"/>
      <c r="O123" s="10"/>
      <c r="P123" s="11"/>
      <c r="Q123" s="32"/>
      <c r="R123" s="12"/>
      <c r="AA123" s="9"/>
      <c r="AB123" s="10"/>
      <c r="AC123" s="11"/>
      <c r="AD123" s="32"/>
      <c r="AE123" s="12"/>
      <c r="AN123" s="9"/>
      <c r="AO123" s="10"/>
      <c r="AP123" s="11"/>
      <c r="AR123" s="12"/>
      <c r="BA123" s="9"/>
      <c r="BB123" s="10"/>
      <c r="BC123" s="11"/>
      <c r="BD123" s="32"/>
      <c r="BE123" s="12"/>
      <c r="BN123" s="9"/>
      <c r="BO123" s="10"/>
      <c r="BP123" s="11"/>
      <c r="BQ123" s="32"/>
      <c r="BR123" s="12"/>
    </row>
    <row r="124" spans="1:70" x14ac:dyDescent="0.3">
      <c r="A124" s="9"/>
      <c r="B124" s="10"/>
      <c r="C124" s="11"/>
      <c r="E124" s="12"/>
      <c r="N124" s="9"/>
      <c r="O124" s="10"/>
      <c r="P124" s="11"/>
      <c r="Q124" s="32"/>
      <c r="R124" s="12"/>
      <c r="AA124" s="9"/>
      <c r="AB124" s="10"/>
      <c r="AC124" s="11"/>
      <c r="AD124" s="32"/>
      <c r="AE124" s="12"/>
      <c r="AN124" s="9"/>
      <c r="AO124" s="10"/>
      <c r="AP124" s="11"/>
      <c r="AR124" s="12"/>
      <c r="BA124" s="9"/>
      <c r="BB124" s="10"/>
      <c r="BC124" s="11"/>
      <c r="BD124" s="32"/>
      <c r="BE124" s="12"/>
      <c r="BN124" s="9"/>
      <c r="BO124" s="10"/>
      <c r="BP124" s="11"/>
      <c r="BQ124" s="32"/>
      <c r="BR124" s="12"/>
    </row>
    <row r="125" spans="1:70" x14ac:dyDescent="0.3">
      <c r="A125" s="9"/>
      <c r="B125" s="10"/>
      <c r="C125" s="11"/>
      <c r="E125" s="12"/>
      <c r="N125" s="9"/>
      <c r="O125" s="10"/>
      <c r="P125" s="11"/>
      <c r="Q125" s="32"/>
      <c r="R125" s="12"/>
      <c r="AA125" s="9"/>
      <c r="AB125" s="10"/>
      <c r="AC125" s="11"/>
      <c r="AD125" s="32"/>
      <c r="AE125" s="12"/>
      <c r="AN125" s="9"/>
      <c r="AO125" s="10"/>
      <c r="AP125" s="11"/>
      <c r="AR125" s="12"/>
      <c r="BA125" s="9"/>
      <c r="BB125" s="10"/>
      <c r="BC125" s="11"/>
      <c r="BD125" s="32"/>
      <c r="BE125" s="12"/>
      <c r="BN125" s="9"/>
      <c r="BO125" s="10"/>
      <c r="BP125" s="11"/>
      <c r="BQ125" s="32"/>
      <c r="BR125" s="12"/>
    </row>
    <row r="126" spans="1:70" x14ac:dyDescent="0.3">
      <c r="A126" s="9"/>
      <c r="B126" s="10"/>
      <c r="C126" s="11"/>
      <c r="E126" s="12"/>
      <c r="N126" s="9"/>
      <c r="O126" s="10"/>
      <c r="P126" s="11"/>
      <c r="Q126" s="32"/>
      <c r="R126" s="12"/>
      <c r="AA126" s="9"/>
      <c r="AB126" s="10"/>
      <c r="AC126" s="11"/>
      <c r="AD126" s="32"/>
      <c r="AE126" s="12"/>
      <c r="AN126" s="9"/>
      <c r="AO126" s="10"/>
      <c r="AP126" s="11"/>
      <c r="AR126" s="12"/>
      <c r="BA126" s="9"/>
      <c r="BB126" s="10"/>
      <c r="BC126" s="11"/>
      <c r="BD126" s="32"/>
      <c r="BE126" s="12"/>
      <c r="BN126" s="9"/>
      <c r="BO126" s="10"/>
      <c r="BP126" s="11"/>
      <c r="BQ126" s="32"/>
      <c r="BR126" s="12"/>
    </row>
    <row r="127" spans="1:70" x14ac:dyDescent="0.3">
      <c r="A127" s="9"/>
      <c r="B127" s="10"/>
      <c r="C127" s="11"/>
      <c r="E127" s="12"/>
      <c r="N127" s="9"/>
      <c r="O127" s="10"/>
      <c r="P127" s="11"/>
      <c r="Q127" s="32"/>
      <c r="R127" s="12"/>
      <c r="AA127" s="9"/>
      <c r="AB127" s="10"/>
      <c r="AC127" s="11"/>
      <c r="AD127" s="32"/>
      <c r="AE127" s="12"/>
      <c r="AN127" s="9"/>
      <c r="AO127" s="10"/>
      <c r="AP127" s="11"/>
      <c r="AR127" s="12"/>
      <c r="BA127" s="9"/>
      <c r="BB127" s="10"/>
      <c r="BC127" s="11"/>
      <c r="BD127" s="32"/>
      <c r="BE127" s="12"/>
      <c r="BN127" s="9"/>
      <c r="BO127" s="10"/>
      <c r="BP127" s="11"/>
      <c r="BQ127" s="32"/>
      <c r="BR127" s="12"/>
    </row>
    <row r="128" spans="1:70" x14ac:dyDescent="0.3">
      <c r="A128" s="9"/>
      <c r="B128" s="10"/>
      <c r="C128" s="11"/>
      <c r="E128" s="12"/>
      <c r="N128" s="9"/>
      <c r="O128" s="10"/>
      <c r="P128" s="11"/>
      <c r="Q128" s="32"/>
      <c r="R128" s="12"/>
      <c r="AA128" s="9"/>
      <c r="AB128" s="10"/>
      <c r="AC128" s="11"/>
      <c r="AD128" s="32"/>
      <c r="AE128" s="12"/>
      <c r="AN128" s="9"/>
      <c r="AO128" s="10"/>
      <c r="AP128" s="11"/>
      <c r="AR128" s="12"/>
      <c r="BA128" s="9"/>
      <c r="BB128" s="10"/>
      <c r="BC128" s="11"/>
      <c r="BD128" s="32"/>
      <c r="BE128" s="12"/>
      <c r="BN128" s="9"/>
      <c r="BO128" s="10"/>
      <c r="BP128" s="11"/>
      <c r="BQ128" s="32"/>
      <c r="BR128" s="12"/>
    </row>
    <row r="129" spans="1:70" x14ac:dyDescent="0.3">
      <c r="A129" s="9"/>
      <c r="B129" s="10"/>
      <c r="C129" s="11"/>
      <c r="E129" s="12"/>
      <c r="N129" s="9"/>
      <c r="O129" s="10"/>
      <c r="P129" s="11"/>
      <c r="Q129" s="32"/>
      <c r="R129" s="12"/>
      <c r="AA129" s="9"/>
      <c r="AB129" s="10"/>
      <c r="AC129" s="11"/>
      <c r="AD129" s="32"/>
      <c r="AE129" s="12"/>
      <c r="AN129" s="9"/>
      <c r="AO129" s="10"/>
      <c r="AP129" s="11"/>
      <c r="AR129" s="12"/>
      <c r="BA129" s="9"/>
      <c r="BB129" s="10"/>
      <c r="BC129" s="11"/>
      <c r="BD129" s="32"/>
      <c r="BE129" s="12"/>
      <c r="BN129" s="9"/>
      <c r="BO129" s="10"/>
      <c r="BP129" s="11"/>
      <c r="BQ129" s="32"/>
      <c r="BR129" s="12"/>
    </row>
    <row r="130" spans="1:70" x14ac:dyDescent="0.3">
      <c r="A130" s="9"/>
      <c r="B130" s="10"/>
      <c r="C130" s="11"/>
      <c r="E130" s="12"/>
      <c r="N130" s="9"/>
      <c r="O130" s="10"/>
      <c r="P130" s="11"/>
      <c r="Q130" s="32"/>
      <c r="R130" s="12"/>
      <c r="AA130" s="9"/>
      <c r="AB130" s="10"/>
      <c r="AC130" s="11"/>
      <c r="AD130" s="32"/>
      <c r="AE130" s="12"/>
      <c r="AN130" s="9"/>
      <c r="AO130" s="10"/>
      <c r="AP130" s="11"/>
      <c r="AR130" s="12"/>
      <c r="BA130" s="9"/>
      <c r="BB130" s="10"/>
      <c r="BC130" s="11"/>
      <c r="BD130" s="32"/>
      <c r="BE130" s="12"/>
      <c r="BN130" s="9"/>
      <c r="BO130" s="10"/>
      <c r="BP130" s="11"/>
      <c r="BQ130" s="32"/>
      <c r="BR130" s="12"/>
    </row>
    <row r="131" spans="1:70" x14ac:dyDescent="0.3">
      <c r="A131" s="9"/>
      <c r="B131" s="10"/>
      <c r="C131" s="11"/>
      <c r="E131" s="12"/>
      <c r="N131" s="9"/>
      <c r="O131" s="10"/>
      <c r="P131" s="11"/>
      <c r="Q131" s="32"/>
      <c r="R131" s="12"/>
      <c r="AA131" s="9"/>
      <c r="AB131" s="10"/>
      <c r="AC131" s="11"/>
      <c r="AD131" s="32"/>
      <c r="AE131" s="12"/>
      <c r="AN131" s="9"/>
      <c r="AO131" s="10"/>
      <c r="AP131" s="11"/>
      <c r="AR131" s="12"/>
      <c r="BA131" s="9"/>
      <c r="BB131" s="10"/>
      <c r="BC131" s="11"/>
      <c r="BD131" s="32"/>
      <c r="BE131" s="12"/>
      <c r="BN131" s="9"/>
      <c r="BO131" s="10"/>
      <c r="BP131" s="11"/>
      <c r="BQ131" s="32"/>
      <c r="BR131" s="12"/>
    </row>
    <row r="132" spans="1:70" x14ac:dyDescent="0.3">
      <c r="A132" s="9"/>
      <c r="B132" s="10"/>
      <c r="C132" s="11"/>
      <c r="E132" s="12"/>
      <c r="N132" s="9"/>
      <c r="O132" s="10"/>
      <c r="P132" s="11"/>
      <c r="Q132" s="32"/>
      <c r="R132" s="12"/>
      <c r="AA132" s="9"/>
      <c r="AB132" s="10"/>
      <c r="AC132" s="11"/>
      <c r="AD132" s="32"/>
      <c r="AE132" s="12"/>
      <c r="AN132" s="9"/>
      <c r="AO132" s="10"/>
      <c r="AP132" s="11"/>
      <c r="AR132" s="12"/>
      <c r="BA132" s="9"/>
      <c r="BB132" s="10"/>
      <c r="BC132" s="11"/>
      <c r="BD132" s="32"/>
      <c r="BE132" s="12"/>
      <c r="BN132" s="9"/>
      <c r="BO132" s="10"/>
      <c r="BP132" s="11"/>
      <c r="BQ132" s="32"/>
      <c r="BR132" s="12"/>
    </row>
    <row r="133" spans="1:70" x14ac:dyDescent="0.3">
      <c r="A133" s="9"/>
      <c r="B133" s="10"/>
      <c r="C133" s="11"/>
      <c r="E133" s="12"/>
      <c r="N133" s="9"/>
      <c r="O133" s="10"/>
      <c r="P133" s="11"/>
      <c r="Q133" s="32"/>
      <c r="R133" s="12"/>
      <c r="AA133" s="9"/>
      <c r="AB133" s="10"/>
      <c r="AC133" s="11"/>
      <c r="AD133" s="32"/>
      <c r="AE133" s="12"/>
      <c r="AN133" s="9"/>
      <c r="AO133" s="10"/>
      <c r="AP133" s="11"/>
      <c r="AR133" s="12"/>
      <c r="BA133" s="9"/>
      <c r="BB133" s="10"/>
      <c r="BC133" s="11"/>
      <c r="BD133" s="32"/>
      <c r="BE133" s="12"/>
      <c r="BN133" s="9"/>
      <c r="BO133" s="10"/>
      <c r="BP133" s="11"/>
      <c r="BQ133" s="32"/>
      <c r="BR133" s="12"/>
    </row>
    <row r="134" spans="1:70" x14ac:dyDescent="0.3">
      <c r="A134" s="9"/>
      <c r="B134" s="10"/>
      <c r="C134" s="11"/>
      <c r="E134" s="12"/>
      <c r="N134" s="9"/>
      <c r="O134" s="10"/>
      <c r="P134" s="11"/>
      <c r="Q134" s="32"/>
      <c r="R134" s="12"/>
      <c r="AA134" s="9"/>
      <c r="AB134" s="10"/>
      <c r="AC134" s="11"/>
      <c r="AD134" s="32"/>
      <c r="AE134" s="12"/>
      <c r="AN134" s="9"/>
      <c r="AO134" s="10"/>
      <c r="AP134" s="11"/>
      <c r="AR134" s="12"/>
      <c r="BA134" s="9"/>
      <c r="BB134" s="10"/>
      <c r="BC134" s="11"/>
      <c r="BD134" s="32"/>
      <c r="BE134" s="12"/>
      <c r="BN134" s="9"/>
      <c r="BO134" s="10"/>
      <c r="BP134" s="11"/>
      <c r="BQ134" s="32"/>
      <c r="BR134" s="12"/>
    </row>
    <row r="135" spans="1:70" x14ac:dyDescent="0.3">
      <c r="A135" s="9"/>
      <c r="B135" s="10"/>
      <c r="C135" s="11"/>
      <c r="E135" s="12"/>
      <c r="N135" s="9"/>
      <c r="O135" s="10"/>
      <c r="P135" s="11"/>
      <c r="Q135" s="32"/>
      <c r="R135" s="12"/>
      <c r="AA135" s="9"/>
      <c r="AB135" s="10"/>
      <c r="AC135" s="11"/>
      <c r="AD135" s="32"/>
      <c r="AE135" s="12"/>
      <c r="AN135" s="9"/>
      <c r="AO135" s="10"/>
      <c r="AP135" s="11"/>
      <c r="AR135" s="12"/>
      <c r="BA135" s="9"/>
      <c r="BB135" s="10"/>
      <c r="BC135" s="11"/>
      <c r="BD135" s="32"/>
      <c r="BE135" s="12"/>
      <c r="BN135" s="9"/>
      <c r="BO135" s="10"/>
      <c r="BP135" s="11"/>
      <c r="BQ135" s="32"/>
      <c r="BR135" s="12"/>
    </row>
    <row r="136" spans="1:70" x14ac:dyDescent="0.3">
      <c r="A136" s="9"/>
      <c r="B136" s="10"/>
      <c r="C136" s="11"/>
      <c r="E136" s="12"/>
      <c r="N136" s="9"/>
      <c r="O136" s="10"/>
      <c r="P136" s="11"/>
      <c r="Q136" s="32"/>
      <c r="R136" s="12"/>
      <c r="AA136" s="9"/>
      <c r="AB136" s="10"/>
      <c r="AC136" s="11"/>
      <c r="AD136" s="32"/>
      <c r="AE136" s="12"/>
      <c r="AN136" s="9"/>
      <c r="AO136" s="10"/>
      <c r="AP136" s="11"/>
      <c r="AR136" s="12"/>
      <c r="BA136" s="9"/>
      <c r="BB136" s="10"/>
      <c r="BC136" s="11"/>
      <c r="BD136" s="32"/>
      <c r="BE136" s="12"/>
      <c r="BN136" s="9"/>
      <c r="BO136" s="10"/>
      <c r="BP136" s="11"/>
      <c r="BQ136" s="32"/>
      <c r="BR136" s="12"/>
    </row>
    <row r="137" spans="1:70" x14ac:dyDescent="0.3">
      <c r="A137" s="9"/>
      <c r="B137" s="10"/>
      <c r="C137" s="11"/>
      <c r="E137" s="12"/>
      <c r="N137" s="9"/>
      <c r="O137" s="10"/>
      <c r="P137" s="11"/>
      <c r="Q137" s="32"/>
      <c r="R137" s="12"/>
      <c r="AA137" s="9"/>
      <c r="AB137" s="10"/>
      <c r="AC137" s="11"/>
      <c r="AD137" s="32"/>
      <c r="AE137" s="12"/>
      <c r="AN137" s="9"/>
      <c r="AO137" s="10"/>
      <c r="AP137" s="11"/>
      <c r="AR137" s="12"/>
      <c r="BA137" s="9"/>
      <c r="BB137" s="10"/>
      <c r="BC137" s="11"/>
      <c r="BD137" s="32"/>
      <c r="BE137" s="12"/>
      <c r="BN137" s="9"/>
      <c r="BO137" s="10"/>
      <c r="BP137" s="11"/>
      <c r="BQ137" s="32"/>
      <c r="BR137" s="12"/>
    </row>
    <row r="138" spans="1:70" x14ac:dyDescent="0.3">
      <c r="A138" s="9"/>
      <c r="B138" s="10"/>
      <c r="C138" s="11"/>
      <c r="E138" s="12"/>
      <c r="N138" s="9"/>
      <c r="O138" s="10"/>
      <c r="P138" s="11"/>
      <c r="Q138" s="32"/>
      <c r="R138" s="12"/>
      <c r="AA138" s="9"/>
      <c r="AB138" s="10"/>
      <c r="AC138" s="11"/>
      <c r="AD138" s="32"/>
      <c r="AE138" s="12"/>
      <c r="AN138" s="9"/>
      <c r="AO138" s="10"/>
      <c r="AP138" s="11"/>
      <c r="AR138" s="12"/>
      <c r="BA138" s="9"/>
      <c r="BB138" s="10"/>
      <c r="BC138" s="11"/>
      <c r="BD138" s="32"/>
      <c r="BE138" s="12"/>
      <c r="BN138" s="9"/>
      <c r="BO138" s="10"/>
      <c r="BP138" s="11"/>
      <c r="BQ138" s="32"/>
      <c r="BR138" s="12"/>
    </row>
    <row r="139" spans="1:70" x14ac:dyDescent="0.3">
      <c r="A139" s="9"/>
      <c r="B139" s="10"/>
      <c r="C139" s="11"/>
      <c r="E139" s="12"/>
      <c r="N139" s="9"/>
      <c r="O139" s="10"/>
      <c r="P139" s="11"/>
      <c r="Q139" s="32"/>
      <c r="R139" s="12"/>
      <c r="AA139" s="9"/>
      <c r="AB139" s="10"/>
      <c r="AC139" s="11"/>
      <c r="AD139" s="32"/>
      <c r="AE139" s="12"/>
      <c r="AN139" s="9"/>
      <c r="AO139" s="10"/>
      <c r="AP139" s="11"/>
      <c r="AR139" s="12"/>
      <c r="BA139" s="9"/>
      <c r="BB139" s="10"/>
      <c r="BC139" s="11"/>
      <c r="BD139" s="32"/>
      <c r="BE139" s="12"/>
      <c r="BN139" s="9"/>
      <c r="BO139" s="10"/>
      <c r="BP139" s="11"/>
      <c r="BQ139" s="32"/>
      <c r="BR139" s="12"/>
    </row>
    <row r="140" spans="1:70" x14ac:dyDescent="0.3">
      <c r="A140" s="9"/>
      <c r="B140" s="10"/>
      <c r="C140" s="11"/>
      <c r="E140" s="12"/>
      <c r="N140" s="9"/>
      <c r="O140" s="10"/>
      <c r="P140" s="11"/>
      <c r="Q140" s="32"/>
      <c r="R140" s="12"/>
      <c r="AA140" s="9"/>
      <c r="AB140" s="10"/>
      <c r="AC140" s="11"/>
      <c r="AD140" s="32"/>
      <c r="AE140" s="12"/>
      <c r="AN140" s="9"/>
      <c r="AO140" s="10"/>
      <c r="AP140" s="11"/>
      <c r="AR140" s="12"/>
      <c r="BA140" s="9"/>
      <c r="BB140" s="10"/>
      <c r="BC140" s="11"/>
      <c r="BD140" s="32"/>
      <c r="BE140" s="12"/>
      <c r="BN140" s="9"/>
      <c r="BO140" s="10"/>
      <c r="BP140" s="11"/>
      <c r="BQ140" s="32"/>
      <c r="BR140" s="12"/>
    </row>
  </sheetData>
  <sortState xmlns:xlrd2="http://schemas.microsoft.com/office/spreadsheetml/2017/richdata2" ref="BQ12:BQ29">
    <sortCondition ref="BQ12"/>
  </sortState>
  <mergeCells count="5">
    <mergeCell ref="F10:H10"/>
    <mergeCell ref="S10:U10"/>
    <mergeCell ref="AF10:AH10"/>
    <mergeCell ref="AS10:AU10"/>
    <mergeCell ref="BF10:B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40" zoomScaleNormal="40" workbookViewId="0">
      <selection activeCell="AO28" sqref="AO2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3:M55"/>
  <sheetViews>
    <sheetView tabSelected="1" zoomScale="70" zoomScaleNormal="70" workbookViewId="0">
      <selection activeCell="E37" sqref="E37"/>
    </sheetView>
  </sheetViews>
  <sheetFormatPr baseColWidth="10" defaultRowHeight="14.4" x14ac:dyDescent="0.3"/>
  <cols>
    <col min="4" max="4" width="7.5546875" customWidth="1"/>
    <col min="5" max="5" width="17.33203125" customWidth="1"/>
    <col min="6" max="6" width="25.6640625" bestFit="1" customWidth="1"/>
    <col min="7" max="9" width="26.88671875" bestFit="1" customWidth="1"/>
    <col min="10" max="10" width="27.6640625" bestFit="1" customWidth="1"/>
    <col min="11" max="11" width="27.6640625" customWidth="1"/>
  </cols>
  <sheetData>
    <row r="3" spans="4:13" ht="21" x14ac:dyDescent="0.4">
      <c r="D3" s="7" t="s">
        <v>59</v>
      </c>
      <c r="E3" s="7"/>
      <c r="F3" s="1"/>
    </row>
    <row r="4" spans="4:13" ht="21.6" thickBot="1" x14ac:dyDescent="0.45">
      <c r="D4" s="7"/>
      <c r="E4" s="7"/>
      <c r="F4" s="1"/>
    </row>
    <row r="5" spans="4:13" x14ac:dyDescent="0.3">
      <c r="E5" s="15" t="s">
        <v>10</v>
      </c>
      <c r="F5" s="16"/>
      <c r="G5" s="17"/>
      <c r="H5" s="17"/>
      <c r="I5" s="17"/>
      <c r="J5" s="17"/>
      <c r="K5" s="17"/>
      <c r="L5" s="18"/>
    </row>
    <row r="6" spans="4:13" x14ac:dyDescent="0.3">
      <c r="E6" s="19"/>
      <c r="F6" s="1"/>
      <c r="L6" s="20"/>
    </row>
    <row r="7" spans="4:13" x14ac:dyDescent="0.3">
      <c r="E7" s="21"/>
      <c r="F7" s="2" t="str">
        <f>Max_An_non_triee!E2</f>
        <v>r1</v>
      </c>
      <c r="G7" s="2" t="str">
        <f>Max_An_non_triee!G2</f>
        <v>r10</v>
      </c>
      <c r="H7" s="2" t="str">
        <f>Max_An_non_triee!I2</f>
        <v>r2</v>
      </c>
      <c r="I7" s="2" t="str">
        <f>Max_An_non_triee!K2</f>
        <v>r3</v>
      </c>
      <c r="J7" s="2" t="str">
        <f>Max_An_non_triee!M2</f>
        <v>r4</v>
      </c>
      <c r="K7" s="2" t="str">
        <f>Max_An_non_triee!O2</f>
        <v>r5</v>
      </c>
      <c r="M7" s="20"/>
    </row>
    <row r="8" spans="4:13" x14ac:dyDescent="0.3">
      <c r="E8" s="22" t="s">
        <v>6</v>
      </c>
      <c r="F8" s="64">
        <f>'Ajustement de GUMBEL'!D4</f>
        <v>24.403487817933723</v>
      </c>
      <c r="G8" s="64">
        <f>'Ajustement de GUMBEL'!Q4</f>
        <v>32.631748555022305</v>
      </c>
      <c r="H8" s="64">
        <f>'Ajustement de GUMBEL'!AD4</f>
        <v>25.916797246025613</v>
      </c>
      <c r="I8" s="64">
        <f>'Ajustement de GUMBEL'!AQ4</f>
        <v>33.938374106520968</v>
      </c>
      <c r="J8" s="65">
        <f>'Ajustement de GUMBEL'!BD4</f>
        <v>32.025478474230411</v>
      </c>
      <c r="K8" s="64">
        <f>'Ajustement de GUMBEL'!BQ4</f>
        <v>33.613872551890317</v>
      </c>
      <c r="L8" s="20" t="s">
        <v>0</v>
      </c>
    </row>
    <row r="9" spans="4:13" x14ac:dyDescent="0.3">
      <c r="E9" s="22" t="s">
        <v>7</v>
      </c>
      <c r="F9" s="64">
        <f>'Ajustement de GUMBEL'!D5</f>
        <v>53.333300418081251</v>
      </c>
      <c r="G9" s="64">
        <f>'Ajustement de GUMBEL'!Q5</f>
        <v>55.441590793518081</v>
      </c>
      <c r="H9" s="64">
        <f>'Ajustement de GUMBEL'!AD5</f>
        <v>55.127024234462382</v>
      </c>
      <c r="I9" s="64">
        <f>'Ajustement de GUMBEL'!AQ5</f>
        <v>56.648108901150771</v>
      </c>
      <c r="J9" s="65">
        <f>'Ajustement de GUMBEL'!BD5</f>
        <v>58.82304059067468</v>
      </c>
      <c r="K9" s="64">
        <f>'Ajustement de GUMBEL'!BQ5</f>
        <v>56.796568775721767</v>
      </c>
      <c r="L9" s="20" t="s">
        <v>0</v>
      </c>
    </row>
    <row r="10" spans="4:13" ht="15" thickBot="1" x14ac:dyDescent="0.35">
      <c r="E10" s="23"/>
      <c r="F10" s="24"/>
      <c r="G10" s="25"/>
      <c r="H10" s="25"/>
      <c r="I10" s="25"/>
      <c r="J10" s="25"/>
      <c r="K10" s="25"/>
      <c r="L10" s="26"/>
    </row>
    <row r="13" spans="4:13" x14ac:dyDescent="0.3">
      <c r="F13" s="27" t="s">
        <v>38</v>
      </c>
      <c r="G13" s="27" t="s">
        <v>40</v>
      </c>
      <c r="H13" s="27" t="s">
        <v>39</v>
      </c>
      <c r="I13" s="27" t="s">
        <v>42</v>
      </c>
      <c r="J13" s="4" t="s">
        <v>41</v>
      </c>
      <c r="K13" s="4" t="s">
        <v>46</v>
      </c>
      <c r="L13" s="27"/>
    </row>
    <row r="14" spans="4:13" x14ac:dyDescent="0.3">
      <c r="F14" s="28">
        <v>5</v>
      </c>
      <c r="G14" s="28">
        <v>10</v>
      </c>
      <c r="H14" s="28">
        <v>20</v>
      </c>
      <c r="I14" s="28">
        <v>30</v>
      </c>
      <c r="J14" s="28">
        <v>50</v>
      </c>
      <c r="K14" s="28">
        <v>100</v>
      </c>
      <c r="L14" s="37" t="s">
        <v>19</v>
      </c>
    </row>
    <row r="15" spans="4:13" x14ac:dyDescent="0.3">
      <c r="E15" s="32" t="s">
        <v>14</v>
      </c>
      <c r="F15" s="11">
        <f t="shared" ref="F15:K15" si="0">1-1/F14</f>
        <v>0.8</v>
      </c>
      <c r="G15" s="11">
        <f t="shared" si="0"/>
        <v>0.9</v>
      </c>
      <c r="H15" s="11">
        <f t="shared" si="0"/>
        <v>0.95</v>
      </c>
      <c r="I15" s="11">
        <f t="shared" si="0"/>
        <v>0.96666666666666667</v>
      </c>
      <c r="J15" s="11">
        <f t="shared" si="0"/>
        <v>0.98</v>
      </c>
      <c r="K15" s="11">
        <f t="shared" si="0"/>
        <v>0.99</v>
      </c>
      <c r="L15" t="s">
        <v>1</v>
      </c>
    </row>
    <row r="16" spans="4:13" x14ac:dyDescent="0.3">
      <c r="E16" s="32" t="s">
        <v>15</v>
      </c>
      <c r="F16" s="11">
        <f t="shared" ref="F16:K16" si="1">-LN(-LN(F15))</f>
        <v>1.4999399867595158</v>
      </c>
      <c r="G16" s="11">
        <f t="shared" si="1"/>
        <v>2.2503673273124454</v>
      </c>
      <c r="H16" s="11">
        <f t="shared" si="1"/>
        <v>2.9701952490421637</v>
      </c>
      <c r="I16" s="11">
        <f t="shared" si="1"/>
        <v>3.3842944934992527</v>
      </c>
      <c r="J16" s="11">
        <f t="shared" si="1"/>
        <v>3.9019386579358333</v>
      </c>
      <c r="K16" s="11">
        <f t="shared" si="1"/>
        <v>4.6001492267765789</v>
      </c>
      <c r="L16" t="s">
        <v>1</v>
      </c>
    </row>
    <row r="17" spans="5:12" x14ac:dyDescent="0.3">
      <c r="F17" s="1"/>
    </row>
    <row r="18" spans="5:12" x14ac:dyDescent="0.3">
      <c r="E18" s="32"/>
      <c r="F18" s="29"/>
    </row>
    <row r="19" spans="5:12" x14ac:dyDescent="0.3">
      <c r="E19" s="33" t="s">
        <v>16</v>
      </c>
      <c r="F19" s="1"/>
    </row>
    <row r="20" spans="5:12" x14ac:dyDescent="0.3">
      <c r="E20" s="34"/>
      <c r="F20" s="1"/>
    </row>
    <row r="21" spans="5:12" x14ac:dyDescent="0.3">
      <c r="E21" s="4" t="s">
        <v>17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/>
    </row>
    <row r="22" spans="5:12" x14ac:dyDescent="0.3">
      <c r="E22" s="1" t="s">
        <v>29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/>
    </row>
    <row r="23" spans="5:12" x14ac:dyDescent="0.3">
      <c r="E23" s="1"/>
      <c r="F23" s="30"/>
      <c r="G23" s="30"/>
      <c r="H23" s="30"/>
      <c r="I23" s="30"/>
      <c r="J23" s="30"/>
      <c r="K23" s="30"/>
      <c r="L23" s="30"/>
    </row>
    <row r="24" spans="5:12" x14ac:dyDescent="0.3">
      <c r="E24" s="70" t="s">
        <v>63</v>
      </c>
      <c r="F24" s="14">
        <f>$F$9+F16*$F$8</f>
        <v>89.937067612598767</v>
      </c>
      <c r="G24" s="14">
        <f t="shared" ref="G24:J24" si="2">$F$9+G16*$F$8</f>
        <v>108.25011207602658</v>
      </c>
      <c r="H24" s="14">
        <f t="shared" si="2"/>
        <v>125.81642399496631</v>
      </c>
      <c r="I24" s="14">
        <f t="shared" si="2"/>
        <v>135.92188986249045</v>
      </c>
      <c r="J24" s="14">
        <f t="shared" si="2"/>
        <v>148.55421292334302</v>
      </c>
      <c r="K24" s="14">
        <f t="shared" ref="K24" si="3">$F$9+K16*$F$8</f>
        <v>165.59298603440072</v>
      </c>
      <c r="L24" s="55"/>
    </row>
    <row r="25" spans="5:12" x14ac:dyDescent="0.3">
      <c r="E25" s="35" t="s">
        <v>65</v>
      </c>
      <c r="F25" s="14">
        <f>$G$9+F16*$G$8</f>
        <v>104.38725528907808</v>
      </c>
      <c r="G25" s="14">
        <f t="shared" ref="G25:K25" si="4">$G$9+G16*$G$8</f>
        <v>128.87501157481537</v>
      </c>
      <c r="H25" s="14">
        <f t="shared" si="4"/>
        <v>152.36425531958383</v>
      </c>
      <c r="I25" s="14">
        <f t="shared" si="4"/>
        <v>165.87703774153226</v>
      </c>
      <c r="J25" s="14">
        <f t="shared" si="4"/>
        <v>182.76867195640139</v>
      </c>
      <c r="K25" s="14">
        <f t="shared" si="4"/>
        <v>205.55250367727169</v>
      </c>
      <c r="L25" s="55"/>
    </row>
    <row r="26" spans="5:12" x14ac:dyDescent="0.3">
      <c r="E26" s="35" t="s">
        <v>64</v>
      </c>
      <c r="F26" s="14">
        <f t="shared" ref="F26:K26" si="5">$H$9+F16*$H$8</f>
        <v>94.000664752515092</v>
      </c>
      <c r="G26" s="14">
        <f t="shared" si="5"/>
        <v>113.4493379854996</v>
      </c>
      <c r="H26" s="14">
        <f t="shared" si="5"/>
        <v>132.10497228499668</v>
      </c>
      <c r="I26" s="14">
        <f t="shared" si="5"/>
        <v>142.83709844332344</v>
      </c>
      <c r="J26" s="14">
        <f t="shared" si="5"/>
        <v>156.25277729861466</v>
      </c>
      <c r="K26" s="14">
        <f t="shared" si="5"/>
        <v>174.34815904629249</v>
      </c>
      <c r="L26" s="55"/>
    </row>
    <row r="27" spans="5:12" x14ac:dyDescent="0.3">
      <c r="E27" s="35" t="s">
        <v>66</v>
      </c>
      <c r="F27" s="14">
        <f t="shared" ref="F27:K27" si="6">$I$9+F16*$I$8</f>
        <v>107.55363330912533</v>
      </c>
      <c r="G27" s="14">
        <f t="shared" si="6"/>
        <v>133.02191713257227</v>
      </c>
      <c r="H27" s="14">
        <f t="shared" si="6"/>
        <v>157.45170643255494</v>
      </c>
      <c r="I27" s="14">
        <f t="shared" si="6"/>
        <v>171.50556150816729</v>
      </c>
      <c r="J27" s="14">
        <f t="shared" si="6"/>
        <v>189.07356281487344</v>
      </c>
      <c r="K27" s="14">
        <f t="shared" si="6"/>
        <v>212.76969430531747</v>
      </c>
      <c r="L27" s="55"/>
    </row>
    <row r="28" spans="5:12" x14ac:dyDescent="0.3">
      <c r="E28" s="35" t="s">
        <v>67</v>
      </c>
      <c r="F28" s="12">
        <f t="shared" ref="F28:K28" si="7">$J$9+F16*$J$8</f>
        <v>106.859336349279</v>
      </c>
      <c r="G28" s="12">
        <f t="shared" si="7"/>
        <v>130.89213099063082</v>
      </c>
      <c r="H28" s="12">
        <f t="shared" si="7"/>
        <v>153.94496460313593</v>
      </c>
      <c r="I28" s="12">
        <f t="shared" si="7"/>
        <v>167.20669104269149</v>
      </c>
      <c r="J28" s="12">
        <f t="shared" si="7"/>
        <v>183.78449308816619</v>
      </c>
      <c r="K28" s="12">
        <f t="shared" si="7"/>
        <v>206.14502063105567</v>
      </c>
      <c r="L28" s="55"/>
    </row>
    <row r="29" spans="5:12" x14ac:dyDescent="0.3">
      <c r="E29" s="35" t="s">
        <v>68</v>
      </c>
      <c r="F29" s="14">
        <f t="shared" ref="F29:K29" si="8">$K$9+F16*$K$8</f>
        <v>107.21536032614017</v>
      </c>
      <c r="G29" s="14">
        <f t="shared" si="8"/>
        <v>132.44012931094034</v>
      </c>
      <c r="H29" s="14">
        <f t="shared" si="8"/>
        <v>156.63633333125517</v>
      </c>
      <c r="I29" s="14">
        <f t="shared" si="8"/>
        <v>170.55581255826985</v>
      </c>
      <c r="J29" s="14">
        <f t="shared" si="8"/>
        <v>187.9558375288708</v>
      </c>
      <c r="K29" s="14">
        <f t="shared" si="8"/>
        <v>211.42539860426649</v>
      </c>
      <c r="L29" s="55"/>
    </row>
    <row r="30" spans="5:12" x14ac:dyDescent="0.3">
      <c r="F30" s="1"/>
    </row>
    <row r="31" spans="5:12" x14ac:dyDescent="0.3">
      <c r="E31" s="36" t="s">
        <v>18</v>
      </c>
      <c r="F31" s="30"/>
      <c r="G31" s="30"/>
      <c r="H31" s="30"/>
      <c r="I31" s="30"/>
      <c r="J31" s="30"/>
      <c r="K31" s="30"/>
      <c r="L31" s="30"/>
    </row>
    <row r="32" spans="5:12" x14ac:dyDescent="0.3">
      <c r="E32" s="36"/>
      <c r="F32" s="30"/>
      <c r="G32" s="30"/>
      <c r="H32" s="30"/>
      <c r="I32" s="30"/>
      <c r="J32" s="30"/>
      <c r="K32" s="30"/>
      <c r="L32" s="30"/>
    </row>
    <row r="33" spans="5:12" x14ac:dyDescent="0.3">
      <c r="E33" s="4" t="s">
        <v>17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/>
    </row>
    <row r="34" spans="5:12" x14ac:dyDescent="0.3">
      <c r="E34" s="4" t="s">
        <v>29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/>
    </row>
    <row r="35" spans="5:12" x14ac:dyDescent="0.3">
      <c r="E35" s="4"/>
      <c r="F35" s="31"/>
      <c r="G35" s="31"/>
      <c r="H35" s="31"/>
      <c r="I35" s="31"/>
      <c r="J35" s="31"/>
      <c r="K35" s="31"/>
      <c r="L35" s="31"/>
    </row>
    <row r="36" spans="5:12" x14ac:dyDescent="0.3">
      <c r="E36" s="70" t="str">
        <f>E24</f>
        <v>r1</v>
      </c>
      <c r="F36" s="38" t="e">
        <f>F24/$E24*60</f>
        <v>#VALUE!</v>
      </c>
      <c r="G36" s="38" t="e">
        <f t="shared" ref="G36:K36" si="9">G24/$E24*60</f>
        <v>#VALUE!</v>
      </c>
      <c r="H36" s="38" t="e">
        <f t="shared" si="9"/>
        <v>#VALUE!</v>
      </c>
      <c r="I36" s="38" t="e">
        <f t="shared" si="9"/>
        <v>#VALUE!</v>
      </c>
      <c r="J36" s="38" t="e">
        <f t="shared" si="9"/>
        <v>#VALUE!</v>
      </c>
      <c r="K36" s="38" t="e">
        <f t="shared" si="9"/>
        <v>#VALUE!</v>
      </c>
      <c r="L36" s="29"/>
    </row>
    <row r="37" spans="5:12" x14ac:dyDescent="0.3">
      <c r="E37" s="35" t="str">
        <f t="shared" ref="E37:E41" si="10">E25</f>
        <v>r10</v>
      </c>
      <c r="F37" s="38" t="e">
        <f t="shared" ref="F37:K37" si="11">F25/$E25*60</f>
        <v>#VALUE!</v>
      </c>
      <c r="G37" s="38" t="e">
        <f t="shared" si="11"/>
        <v>#VALUE!</v>
      </c>
      <c r="H37" s="38" t="e">
        <f t="shared" si="11"/>
        <v>#VALUE!</v>
      </c>
      <c r="I37" s="38" t="e">
        <f t="shared" si="11"/>
        <v>#VALUE!</v>
      </c>
      <c r="J37" s="38" t="e">
        <f t="shared" si="11"/>
        <v>#VALUE!</v>
      </c>
      <c r="K37" s="38" t="e">
        <f t="shared" si="11"/>
        <v>#VALUE!</v>
      </c>
      <c r="L37" s="29"/>
    </row>
    <row r="38" spans="5:12" x14ac:dyDescent="0.3">
      <c r="E38" s="35" t="str">
        <f t="shared" si="10"/>
        <v>r2</v>
      </c>
      <c r="F38" s="38" t="e">
        <f t="shared" ref="F38:K38" si="12">F26/$E26*60</f>
        <v>#VALUE!</v>
      </c>
      <c r="G38" s="38" t="e">
        <f t="shared" si="12"/>
        <v>#VALUE!</v>
      </c>
      <c r="H38" s="38" t="e">
        <f t="shared" si="12"/>
        <v>#VALUE!</v>
      </c>
      <c r="I38" s="38" t="e">
        <f t="shared" si="12"/>
        <v>#VALUE!</v>
      </c>
      <c r="J38" s="38" t="e">
        <f t="shared" si="12"/>
        <v>#VALUE!</v>
      </c>
      <c r="K38" s="38" t="e">
        <f t="shared" si="12"/>
        <v>#VALUE!</v>
      </c>
      <c r="L38" s="29"/>
    </row>
    <row r="39" spans="5:12" x14ac:dyDescent="0.3">
      <c r="E39" s="35" t="str">
        <f t="shared" si="10"/>
        <v>r3</v>
      </c>
      <c r="F39" s="38" t="e">
        <f t="shared" ref="F39:K39" si="13">F27/$E27*60</f>
        <v>#VALUE!</v>
      </c>
      <c r="G39" s="38" t="e">
        <f t="shared" si="13"/>
        <v>#VALUE!</v>
      </c>
      <c r="H39" s="38" t="e">
        <f t="shared" si="13"/>
        <v>#VALUE!</v>
      </c>
      <c r="I39" s="38" t="e">
        <f t="shared" si="13"/>
        <v>#VALUE!</v>
      </c>
      <c r="J39" s="38" t="e">
        <f t="shared" si="13"/>
        <v>#VALUE!</v>
      </c>
      <c r="K39" s="38" t="e">
        <f t="shared" si="13"/>
        <v>#VALUE!</v>
      </c>
    </row>
    <row r="40" spans="5:12" x14ac:dyDescent="0.3">
      <c r="E40" s="35" t="str">
        <f t="shared" si="10"/>
        <v>r4</v>
      </c>
      <c r="F40" s="38" t="e">
        <f t="shared" ref="F40:K40" si="14">F28/$E28*60</f>
        <v>#VALUE!</v>
      </c>
      <c r="G40" s="38" t="e">
        <f t="shared" si="14"/>
        <v>#VALUE!</v>
      </c>
      <c r="H40" s="38" t="e">
        <f t="shared" si="14"/>
        <v>#VALUE!</v>
      </c>
      <c r="I40" s="38" t="e">
        <f t="shared" si="14"/>
        <v>#VALUE!</v>
      </c>
      <c r="J40" s="38" t="e">
        <f t="shared" si="14"/>
        <v>#VALUE!</v>
      </c>
      <c r="K40" s="38" t="e">
        <f t="shared" si="14"/>
        <v>#VALUE!</v>
      </c>
      <c r="L40" s="29"/>
    </row>
    <row r="41" spans="5:12" x14ac:dyDescent="0.3">
      <c r="E41" s="35" t="str">
        <f t="shared" si="10"/>
        <v>r5</v>
      </c>
      <c r="F41" s="38" t="e">
        <f t="shared" ref="F41:K41" si="15">F29/$E29*60</f>
        <v>#VALUE!</v>
      </c>
      <c r="G41" s="38" t="e">
        <f t="shared" si="15"/>
        <v>#VALUE!</v>
      </c>
      <c r="H41" s="38" t="e">
        <f t="shared" si="15"/>
        <v>#VALUE!</v>
      </c>
      <c r="I41" s="38" t="e">
        <f t="shared" si="15"/>
        <v>#VALUE!</v>
      </c>
      <c r="J41" s="38" t="e">
        <f t="shared" si="15"/>
        <v>#VALUE!</v>
      </c>
      <c r="K41" s="38" t="e">
        <f t="shared" si="15"/>
        <v>#VALUE!</v>
      </c>
      <c r="L41" s="29"/>
    </row>
    <row r="42" spans="5:12" x14ac:dyDescent="0.3">
      <c r="F42" s="1" t="s">
        <v>45</v>
      </c>
      <c r="G42" s="1" t="s">
        <v>45</v>
      </c>
      <c r="H42" s="1" t="s">
        <v>45</v>
      </c>
      <c r="I42" s="1" t="s">
        <v>45</v>
      </c>
      <c r="J42" s="1" t="s">
        <v>45</v>
      </c>
      <c r="K42" s="1" t="s">
        <v>45</v>
      </c>
    </row>
    <row r="43" spans="5:12" x14ac:dyDescent="0.3">
      <c r="E43" s="70" t="str">
        <f t="shared" ref="E43:E48" si="16">E24</f>
        <v>r1</v>
      </c>
      <c r="F43" s="43" t="e">
        <f t="shared" ref="F43:J43" si="17">F36/60</f>
        <v>#VALUE!</v>
      </c>
      <c r="G43" s="43" t="e">
        <f t="shared" si="17"/>
        <v>#VALUE!</v>
      </c>
      <c r="H43" s="43" t="e">
        <f t="shared" si="17"/>
        <v>#VALUE!</v>
      </c>
      <c r="I43" s="43" t="e">
        <f t="shared" si="17"/>
        <v>#VALUE!</v>
      </c>
      <c r="J43" s="43" t="e">
        <f t="shared" si="17"/>
        <v>#VALUE!</v>
      </c>
      <c r="K43" s="43" t="e">
        <f t="shared" ref="K43:K47" si="18">K36/60</f>
        <v>#VALUE!</v>
      </c>
    </row>
    <row r="44" spans="5:12" x14ac:dyDescent="0.3">
      <c r="E44" s="35" t="str">
        <f t="shared" si="16"/>
        <v>r10</v>
      </c>
      <c r="F44" s="43" t="e">
        <f t="shared" ref="F44:J44" si="19">F37/60</f>
        <v>#VALUE!</v>
      </c>
      <c r="G44" s="43" t="e">
        <f t="shared" si="19"/>
        <v>#VALUE!</v>
      </c>
      <c r="H44" s="43" t="e">
        <f t="shared" si="19"/>
        <v>#VALUE!</v>
      </c>
      <c r="I44" s="43" t="e">
        <f t="shared" si="19"/>
        <v>#VALUE!</v>
      </c>
      <c r="J44" s="43" t="e">
        <f t="shared" si="19"/>
        <v>#VALUE!</v>
      </c>
      <c r="K44" s="43" t="e">
        <f t="shared" si="18"/>
        <v>#VALUE!</v>
      </c>
    </row>
    <row r="45" spans="5:12" x14ac:dyDescent="0.3">
      <c r="E45" s="35" t="str">
        <f t="shared" si="16"/>
        <v>r2</v>
      </c>
      <c r="F45" s="43" t="e">
        <f t="shared" ref="F45:J45" si="20">F38/60</f>
        <v>#VALUE!</v>
      </c>
      <c r="G45" s="43" t="e">
        <f t="shared" si="20"/>
        <v>#VALUE!</v>
      </c>
      <c r="H45" s="43" t="e">
        <f t="shared" si="20"/>
        <v>#VALUE!</v>
      </c>
      <c r="I45" s="43" t="e">
        <f t="shared" si="20"/>
        <v>#VALUE!</v>
      </c>
      <c r="J45" s="43" t="e">
        <f t="shared" si="20"/>
        <v>#VALUE!</v>
      </c>
      <c r="K45" s="43" t="e">
        <f t="shared" si="18"/>
        <v>#VALUE!</v>
      </c>
    </row>
    <row r="46" spans="5:12" x14ac:dyDescent="0.3">
      <c r="E46" s="35" t="str">
        <f t="shared" si="16"/>
        <v>r3</v>
      </c>
      <c r="F46" s="43" t="e">
        <f t="shared" ref="F46:J46" si="21">F39/60</f>
        <v>#VALUE!</v>
      </c>
      <c r="G46" s="43" t="e">
        <f t="shared" si="21"/>
        <v>#VALUE!</v>
      </c>
      <c r="H46" s="43" t="e">
        <f t="shared" si="21"/>
        <v>#VALUE!</v>
      </c>
      <c r="I46" s="43" t="e">
        <f t="shared" si="21"/>
        <v>#VALUE!</v>
      </c>
      <c r="J46" s="43" t="e">
        <f t="shared" si="21"/>
        <v>#VALUE!</v>
      </c>
      <c r="K46" s="43" t="e">
        <f t="shared" si="18"/>
        <v>#VALUE!</v>
      </c>
    </row>
    <row r="47" spans="5:12" x14ac:dyDescent="0.3">
      <c r="E47" s="35" t="str">
        <f t="shared" si="16"/>
        <v>r4</v>
      </c>
      <c r="F47" s="43" t="e">
        <f t="shared" ref="F47:J47" si="22">F40/60</f>
        <v>#VALUE!</v>
      </c>
      <c r="G47" s="43" t="e">
        <f t="shared" si="22"/>
        <v>#VALUE!</v>
      </c>
      <c r="H47" s="43" t="e">
        <f t="shared" si="22"/>
        <v>#VALUE!</v>
      </c>
      <c r="I47" s="43" t="e">
        <f t="shared" si="22"/>
        <v>#VALUE!</v>
      </c>
      <c r="J47" s="43" t="e">
        <f t="shared" si="22"/>
        <v>#VALUE!</v>
      </c>
      <c r="K47" s="43" t="e">
        <f t="shared" si="18"/>
        <v>#VALUE!</v>
      </c>
    </row>
    <row r="48" spans="5:12" x14ac:dyDescent="0.3">
      <c r="E48" s="35" t="str">
        <f t="shared" si="16"/>
        <v>r5</v>
      </c>
      <c r="F48" s="43" t="e">
        <f t="shared" ref="F48:J48" si="23">F41/60</f>
        <v>#VALUE!</v>
      </c>
      <c r="G48" s="43" t="e">
        <f t="shared" si="23"/>
        <v>#VALUE!</v>
      </c>
      <c r="H48" s="43" t="e">
        <f t="shared" si="23"/>
        <v>#VALUE!</v>
      </c>
      <c r="I48" s="43" t="e">
        <f t="shared" si="23"/>
        <v>#VALUE!</v>
      </c>
      <c r="J48" s="43" t="e">
        <f t="shared" si="23"/>
        <v>#VALUE!</v>
      </c>
      <c r="K48" s="43" t="e">
        <f>K41/60</f>
        <v>#VALUE!</v>
      </c>
    </row>
    <row r="50" spans="6:11" x14ac:dyDescent="0.3">
      <c r="F50" s="41"/>
      <c r="G50" s="41"/>
      <c r="H50" s="41"/>
      <c r="I50" s="41"/>
      <c r="J50" s="41"/>
      <c r="K50" s="41"/>
    </row>
    <row r="51" spans="6:11" x14ac:dyDescent="0.3">
      <c r="F51" s="41"/>
      <c r="G51" s="41"/>
      <c r="H51" s="41"/>
      <c r="I51" s="41"/>
      <c r="J51" s="41"/>
      <c r="K51" s="41"/>
    </row>
    <row r="52" spans="6:11" x14ac:dyDescent="0.3">
      <c r="F52" s="41"/>
      <c r="G52" s="41"/>
      <c r="H52" s="41"/>
      <c r="I52" s="41"/>
      <c r="J52" s="41"/>
      <c r="K52" s="41"/>
    </row>
    <row r="53" spans="6:11" x14ac:dyDescent="0.3">
      <c r="F53" s="41"/>
      <c r="G53" s="41"/>
      <c r="H53" s="41"/>
      <c r="I53" s="41"/>
      <c r="J53" s="41"/>
      <c r="K53" s="41"/>
    </row>
    <row r="54" spans="6:11" x14ac:dyDescent="0.3">
      <c r="F54" s="41"/>
      <c r="G54" s="41"/>
      <c r="H54" s="41"/>
      <c r="I54" s="41"/>
      <c r="J54" s="41"/>
      <c r="K54" s="41"/>
    </row>
    <row r="55" spans="6:11" x14ac:dyDescent="0.3">
      <c r="F55" s="41"/>
      <c r="G55" s="41"/>
      <c r="H55" s="41"/>
      <c r="I55" s="41"/>
      <c r="J55" s="41"/>
      <c r="K55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M60"/>
  <sheetViews>
    <sheetView topLeftCell="F1" zoomScale="70" zoomScaleNormal="70" workbookViewId="0">
      <selection activeCell="R8" sqref="R8"/>
    </sheetView>
  </sheetViews>
  <sheetFormatPr baseColWidth="10" defaultRowHeight="14.4" x14ac:dyDescent="0.3"/>
  <cols>
    <col min="2" max="2" width="16" customWidth="1"/>
    <col min="3" max="3" width="18" customWidth="1"/>
    <col min="4" max="9" width="23" customWidth="1"/>
  </cols>
  <sheetData>
    <row r="5" spans="2:10" ht="21" x14ac:dyDescent="0.4">
      <c r="B5" s="7" t="s">
        <v>30</v>
      </c>
      <c r="C5" s="7"/>
      <c r="D5" s="1"/>
    </row>
    <row r="6" spans="2:10" x14ac:dyDescent="0.3">
      <c r="D6" s="1"/>
    </row>
    <row r="7" spans="2:10" x14ac:dyDescent="0.3">
      <c r="D7" s="1"/>
    </row>
    <row r="8" spans="2:10" x14ac:dyDescent="0.3">
      <c r="D8" s="27" t="str">
        <f>IDF!F13</f>
        <v>temps de retour = 5 ans</v>
      </c>
      <c r="E8" s="27" t="str">
        <f>IDF!G13</f>
        <v>temps de retour = 10 ans</v>
      </c>
      <c r="F8" s="27" t="str">
        <f>IDF!H13</f>
        <v>temps de retour = 20 ans</v>
      </c>
      <c r="G8" s="27" t="str">
        <f>IDF!I13</f>
        <v>temps de retour = 30 ans</v>
      </c>
      <c r="H8" s="27" t="str">
        <f>IDF!J13</f>
        <v>temps de retour = 50 ans</v>
      </c>
      <c r="I8" s="27" t="str">
        <f>IDF!K13</f>
        <v>temps de retour =100 ans</v>
      </c>
    </row>
    <row r="9" spans="2:10" x14ac:dyDescent="0.3">
      <c r="D9" s="28">
        <f>IDF!F14</f>
        <v>5</v>
      </c>
      <c r="E9" s="28">
        <f>IDF!G14</f>
        <v>10</v>
      </c>
      <c r="F9" s="28">
        <f>IDF!H14</f>
        <v>20</v>
      </c>
      <c r="G9" s="28">
        <f>IDF!I14</f>
        <v>30</v>
      </c>
      <c r="H9" s="28">
        <f>IDF!J14</f>
        <v>50</v>
      </c>
      <c r="I9" s="28">
        <f>IDF!K14</f>
        <v>100</v>
      </c>
      <c r="J9" s="1" t="s">
        <v>19</v>
      </c>
    </row>
    <row r="10" spans="2:10" x14ac:dyDescent="0.3">
      <c r="D10" s="1"/>
      <c r="E10" s="1"/>
      <c r="F10" s="1"/>
      <c r="G10" s="1"/>
      <c r="H10" s="1"/>
      <c r="I10" s="1"/>
    </row>
    <row r="11" spans="2:10" x14ac:dyDescent="0.3">
      <c r="D11" s="30"/>
      <c r="E11" s="30"/>
      <c r="F11" s="30"/>
      <c r="G11" s="30"/>
      <c r="H11" s="30"/>
      <c r="I11" s="30"/>
    </row>
    <row r="12" spans="2:10" x14ac:dyDescent="0.3">
      <c r="C12" s="4" t="s">
        <v>17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spans="2:10" x14ac:dyDescent="0.3">
      <c r="B13" t="s">
        <v>47</v>
      </c>
      <c r="C13" s="4" t="s">
        <v>43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</row>
    <row r="14" spans="2:10" x14ac:dyDescent="0.3">
      <c r="C14" s="4"/>
      <c r="D14" s="31"/>
      <c r="E14" s="31"/>
      <c r="F14" s="31"/>
      <c r="G14" s="31"/>
      <c r="H14" s="31"/>
      <c r="I14" s="31"/>
    </row>
    <row r="15" spans="2:10" x14ac:dyDescent="0.3">
      <c r="B15" t="str">
        <f>IDF!E24</f>
        <v>r1</v>
      </c>
      <c r="C15" s="56" t="e">
        <f>B15/60</f>
        <v>#VALUE!</v>
      </c>
      <c r="D15" s="13" t="e">
        <f>IDF!F36</f>
        <v>#VALUE!</v>
      </c>
      <c r="E15" s="13" t="e">
        <f>IDF!G36</f>
        <v>#VALUE!</v>
      </c>
      <c r="F15" s="13" t="e">
        <f>IDF!H36</f>
        <v>#VALUE!</v>
      </c>
      <c r="G15" s="13" t="e">
        <f>IDF!I36</f>
        <v>#VALUE!</v>
      </c>
      <c r="H15" s="13" t="e">
        <f>IDF!J36</f>
        <v>#VALUE!</v>
      </c>
      <c r="I15" s="13" t="e">
        <f>IDF!K36</f>
        <v>#VALUE!</v>
      </c>
    </row>
    <row r="16" spans="2:10" x14ac:dyDescent="0.3">
      <c r="B16" t="str">
        <f>IDF!E25</f>
        <v>r10</v>
      </c>
      <c r="C16" s="56" t="e">
        <f t="shared" ref="C16:C20" si="0">B16/60</f>
        <v>#VALUE!</v>
      </c>
      <c r="D16" s="13" t="e">
        <f>IDF!F37</f>
        <v>#VALUE!</v>
      </c>
      <c r="E16" s="13" t="e">
        <f>IDF!G37</f>
        <v>#VALUE!</v>
      </c>
      <c r="F16" s="13" t="e">
        <f>IDF!H37</f>
        <v>#VALUE!</v>
      </c>
      <c r="G16" s="13" t="e">
        <f>IDF!I37</f>
        <v>#VALUE!</v>
      </c>
      <c r="H16" s="13" t="e">
        <f>IDF!J37</f>
        <v>#VALUE!</v>
      </c>
      <c r="I16" s="13" t="e">
        <f>IDF!K37</f>
        <v>#VALUE!</v>
      </c>
    </row>
    <row r="17" spans="2:9" x14ac:dyDescent="0.3">
      <c r="B17" t="str">
        <f>IDF!E26</f>
        <v>r2</v>
      </c>
      <c r="C17" s="56" t="e">
        <f t="shared" si="0"/>
        <v>#VALUE!</v>
      </c>
      <c r="D17" s="13" t="e">
        <f>IDF!F38</f>
        <v>#VALUE!</v>
      </c>
      <c r="E17" s="13" t="e">
        <f>IDF!G38</f>
        <v>#VALUE!</v>
      </c>
      <c r="F17" s="13" t="e">
        <f>IDF!H38</f>
        <v>#VALUE!</v>
      </c>
      <c r="G17" s="13" t="e">
        <f>IDF!I38</f>
        <v>#VALUE!</v>
      </c>
      <c r="H17" s="13" t="e">
        <f>IDF!J38</f>
        <v>#VALUE!</v>
      </c>
      <c r="I17" s="13" t="e">
        <f>IDF!K38</f>
        <v>#VALUE!</v>
      </c>
    </row>
    <row r="18" spans="2:9" x14ac:dyDescent="0.3">
      <c r="B18" t="str">
        <f>IDF!E27</f>
        <v>r3</v>
      </c>
      <c r="C18" s="56" t="e">
        <f t="shared" si="0"/>
        <v>#VALUE!</v>
      </c>
      <c r="D18" s="13" t="e">
        <f>IDF!F39</f>
        <v>#VALUE!</v>
      </c>
      <c r="E18" s="13" t="e">
        <f>IDF!G39</f>
        <v>#VALUE!</v>
      </c>
      <c r="F18" s="13" t="e">
        <f>IDF!H39</f>
        <v>#VALUE!</v>
      </c>
      <c r="G18" s="13" t="e">
        <f>IDF!I39</f>
        <v>#VALUE!</v>
      </c>
      <c r="H18" s="13" t="e">
        <f>IDF!J39</f>
        <v>#VALUE!</v>
      </c>
      <c r="I18" s="13" t="e">
        <f>IDF!K39</f>
        <v>#VALUE!</v>
      </c>
    </row>
    <row r="19" spans="2:9" x14ac:dyDescent="0.3">
      <c r="B19" t="str">
        <f>IDF!E28</f>
        <v>r4</v>
      </c>
      <c r="C19" s="56" t="e">
        <f t="shared" si="0"/>
        <v>#VALUE!</v>
      </c>
      <c r="D19" s="13" t="e">
        <f>IDF!F40</f>
        <v>#VALUE!</v>
      </c>
      <c r="E19" s="13" t="e">
        <f>IDF!G40</f>
        <v>#VALUE!</v>
      </c>
      <c r="F19" s="13" t="e">
        <f>IDF!H40</f>
        <v>#VALUE!</v>
      </c>
      <c r="G19" s="13" t="e">
        <f>IDF!I40</f>
        <v>#VALUE!</v>
      </c>
      <c r="H19" s="13" t="e">
        <f>IDF!J40</f>
        <v>#VALUE!</v>
      </c>
      <c r="I19" s="13" t="e">
        <f>IDF!K40</f>
        <v>#VALUE!</v>
      </c>
    </row>
    <row r="20" spans="2:9" x14ac:dyDescent="0.3">
      <c r="B20" t="str">
        <f>IDF!E29</f>
        <v>r5</v>
      </c>
      <c r="C20" s="56" t="e">
        <f t="shared" si="0"/>
        <v>#VALUE!</v>
      </c>
      <c r="D20" s="13" t="e">
        <f>IDF!F41</f>
        <v>#VALUE!</v>
      </c>
      <c r="E20" s="13" t="e">
        <f>IDF!G41</f>
        <v>#VALUE!</v>
      </c>
      <c r="F20" s="13" t="e">
        <f>IDF!H41</f>
        <v>#VALUE!</v>
      </c>
      <c r="G20" s="13" t="e">
        <f>IDF!I41</f>
        <v>#VALUE!</v>
      </c>
      <c r="H20" s="13" t="e">
        <f>IDF!J41</f>
        <v>#VALUE!</v>
      </c>
      <c r="I20" s="13" t="e">
        <f>IDF!K41</f>
        <v>#VALUE!</v>
      </c>
    </row>
    <row r="21" spans="2:9" x14ac:dyDescent="0.3">
      <c r="D21" s="39"/>
      <c r="E21" s="30"/>
      <c r="F21" s="30"/>
      <c r="G21" s="30"/>
      <c r="H21" s="30"/>
      <c r="I21" s="30"/>
    </row>
    <row r="22" spans="2:9" x14ac:dyDescent="0.3">
      <c r="C22" s="36" t="s">
        <v>20</v>
      </c>
      <c r="D22" s="39"/>
      <c r="E22" s="30"/>
      <c r="F22" s="30"/>
      <c r="G22" s="30"/>
      <c r="H22" s="30"/>
      <c r="I22" s="30"/>
    </row>
    <row r="23" spans="2:9" x14ac:dyDescent="0.3">
      <c r="C23" s="5" t="s">
        <v>21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</row>
    <row r="24" spans="2:9" x14ac:dyDescent="0.3">
      <c r="C24" s="1"/>
      <c r="D24" s="39"/>
      <c r="E24" s="39"/>
      <c r="F24" s="39"/>
      <c r="G24" s="39"/>
      <c r="H24" s="39"/>
      <c r="I24" s="39"/>
    </row>
    <row r="25" spans="2:9" x14ac:dyDescent="0.3">
      <c r="C25" s="11" t="e">
        <f t="shared" ref="C25:C30" si="1">LN(B15)</f>
        <v>#VALUE!</v>
      </c>
      <c r="D25" s="42" t="e">
        <f t="shared" ref="D25:I30" si="2">LN(D15)</f>
        <v>#VALUE!</v>
      </c>
      <c r="E25" s="42" t="e">
        <f t="shared" si="2"/>
        <v>#VALUE!</v>
      </c>
      <c r="F25" s="42" t="e">
        <f t="shared" si="2"/>
        <v>#VALUE!</v>
      </c>
      <c r="G25" s="42" t="e">
        <f t="shared" si="2"/>
        <v>#VALUE!</v>
      </c>
      <c r="H25" s="42" t="e">
        <f t="shared" si="2"/>
        <v>#VALUE!</v>
      </c>
      <c r="I25" s="42" t="e">
        <f t="shared" si="2"/>
        <v>#VALUE!</v>
      </c>
    </row>
    <row r="26" spans="2:9" x14ac:dyDescent="0.3">
      <c r="C26" s="11" t="e">
        <f t="shared" si="1"/>
        <v>#VALUE!</v>
      </c>
      <c r="D26" s="42" t="e">
        <f t="shared" si="2"/>
        <v>#VALUE!</v>
      </c>
      <c r="E26" s="42" t="e">
        <f t="shared" si="2"/>
        <v>#VALUE!</v>
      </c>
      <c r="F26" s="42" t="e">
        <f t="shared" si="2"/>
        <v>#VALUE!</v>
      </c>
      <c r="G26" s="42" t="e">
        <f t="shared" si="2"/>
        <v>#VALUE!</v>
      </c>
      <c r="H26" s="42" t="e">
        <f t="shared" si="2"/>
        <v>#VALUE!</v>
      </c>
      <c r="I26" s="42" t="e">
        <f t="shared" si="2"/>
        <v>#VALUE!</v>
      </c>
    </row>
    <row r="27" spans="2:9" x14ac:dyDescent="0.3">
      <c r="C27" s="11" t="e">
        <f t="shared" si="1"/>
        <v>#VALUE!</v>
      </c>
      <c r="D27" s="42" t="e">
        <f t="shared" si="2"/>
        <v>#VALUE!</v>
      </c>
      <c r="E27" s="42" t="e">
        <f t="shared" si="2"/>
        <v>#VALUE!</v>
      </c>
      <c r="F27" s="42" t="e">
        <f t="shared" si="2"/>
        <v>#VALUE!</v>
      </c>
      <c r="G27" s="42" t="e">
        <f t="shared" si="2"/>
        <v>#VALUE!</v>
      </c>
      <c r="H27" s="42" t="e">
        <f t="shared" si="2"/>
        <v>#VALUE!</v>
      </c>
      <c r="I27" s="42" t="e">
        <f t="shared" si="2"/>
        <v>#VALUE!</v>
      </c>
    </row>
    <row r="28" spans="2:9" x14ac:dyDescent="0.3">
      <c r="C28" s="11" t="e">
        <f t="shared" si="1"/>
        <v>#VALUE!</v>
      </c>
      <c r="D28" s="42" t="e">
        <f t="shared" si="2"/>
        <v>#VALUE!</v>
      </c>
      <c r="E28" s="42" t="e">
        <f t="shared" si="2"/>
        <v>#VALUE!</v>
      </c>
      <c r="F28" s="42" t="e">
        <f t="shared" si="2"/>
        <v>#VALUE!</v>
      </c>
      <c r="G28" s="42" t="e">
        <f t="shared" si="2"/>
        <v>#VALUE!</v>
      </c>
      <c r="H28" s="42" t="e">
        <f t="shared" si="2"/>
        <v>#VALUE!</v>
      </c>
      <c r="I28" s="42" t="e">
        <f t="shared" si="2"/>
        <v>#VALUE!</v>
      </c>
    </row>
    <row r="29" spans="2:9" x14ac:dyDescent="0.3">
      <c r="C29" s="11" t="e">
        <f t="shared" si="1"/>
        <v>#VALUE!</v>
      </c>
      <c r="D29" s="42" t="e">
        <f t="shared" si="2"/>
        <v>#VALUE!</v>
      </c>
      <c r="E29" s="42" t="e">
        <f t="shared" si="2"/>
        <v>#VALUE!</v>
      </c>
      <c r="F29" s="42" t="e">
        <f t="shared" si="2"/>
        <v>#VALUE!</v>
      </c>
      <c r="G29" s="42" t="e">
        <f t="shared" si="2"/>
        <v>#VALUE!</v>
      </c>
      <c r="H29" s="42" t="e">
        <f t="shared" si="2"/>
        <v>#VALUE!</v>
      </c>
      <c r="I29" s="42" t="e">
        <f t="shared" si="2"/>
        <v>#VALUE!</v>
      </c>
    </row>
    <row r="30" spans="2:9" x14ac:dyDescent="0.3">
      <c r="C30" s="11" t="e">
        <f t="shared" si="1"/>
        <v>#VALUE!</v>
      </c>
      <c r="D30" s="42" t="e">
        <f t="shared" si="2"/>
        <v>#VALUE!</v>
      </c>
      <c r="E30" s="42" t="e">
        <f t="shared" si="2"/>
        <v>#VALUE!</v>
      </c>
      <c r="F30" s="42" t="e">
        <f t="shared" si="2"/>
        <v>#VALUE!</v>
      </c>
      <c r="G30" s="42" t="e">
        <f t="shared" si="2"/>
        <v>#VALUE!</v>
      </c>
      <c r="H30" s="42" t="e">
        <f t="shared" si="2"/>
        <v>#VALUE!</v>
      </c>
      <c r="I30" s="42" t="e">
        <f t="shared" si="2"/>
        <v>#VALUE!</v>
      </c>
    </row>
    <row r="32" spans="2:9" x14ac:dyDescent="0.3">
      <c r="D32" s="1"/>
    </row>
    <row r="33" spans="1:13" x14ac:dyDescent="0.3">
      <c r="C33" s="40" t="s">
        <v>23</v>
      </c>
      <c r="D33" s="42" t="e">
        <f t="shared" ref="D33:I33" si="3">INDEX(LINEST(D25:D30,$C$25:$C$30),1)</f>
        <v>#VALUE!</v>
      </c>
      <c r="E33" s="42" t="e">
        <f t="shared" si="3"/>
        <v>#VALUE!</v>
      </c>
      <c r="F33" s="42" t="e">
        <f t="shared" si="3"/>
        <v>#VALUE!</v>
      </c>
      <c r="G33" s="42" t="e">
        <f t="shared" si="3"/>
        <v>#VALUE!</v>
      </c>
      <c r="H33" s="42" t="e">
        <f t="shared" si="3"/>
        <v>#VALUE!</v>
      </c>
      <c r="I33" s="42" t="e">
        <f t="shared" si="3"/>
        <v>#VALUE!</v>
      </c>
    </row>
    <row r="34" spans="1:13" x14ac:dyDescent="0.3">
      <c r="C34" s="40" t="s">
        <v>24</v>
      </c>
      <c r="D34" s="42" t="e">
        <f t="shared" ref="D34:I34" si="4">INDEX(LINEST(D25:D30,$C$25:$C$30),2)</f>
        <v>#VALUE!</v>
      </c>
      <c r="E34" s="42" t="e">
        <f t="shared" si="4"/>
        <v>#VALUE!</v>
      </c>
      <c r="F34" s="42" t="e">
        <f t="shared" si="4"/>
        <v>#VALUE!</v>
      </c>
      <c r="G34" s="42" t="e">
        <f t="shared" si="4"/>
        <v>#VALUE!</v>
      </c>
      <c r="H34" s="42" t="e">
        <f t="shared" si="4"/>
        <v>#VALUE!</v>
      </c>
      <c r="I34" s="42" t="e">
        <f t="shared" si="4"/>
        <v>#VALUE!</v>
      </c>
    </row>
    <row r="35" spans="1:13" x14ac:dyDescent="0.3">
      <c r="D35" s="1"/>
    </row>
    <row r="36" spans="1:13" x14ac:dyDescent="0.3">
      <c r="C36" s="40" t="s">
        <v>25</v>
      </c>
      <c r="D36" s="66" t="e">
        <f t="shared" ref="D36:I36" si="5">-D33</f>
        <v>#VALUE!</v>
      </c>
      <c r="E36" s="66" t="e">
        <f t="shared" si="5"/>
        <v>#VALUE!</v>
      </c>
      <c r="F36" s="66" t="e">
        <f t="shared" si="5"/>
        <v>#VALUE!</v>
      </c>
      <c r="G36" s="66" t="e">
        <f t="shared" si="5"/>
        <v>#VALUE!</v>
      </c>
      <c r="H36" s="66" t="e">
        <f t="shared" si="5"/>
        <v>#VALUE!</v>
      </c>
      <c r="I36" s="66" t="e">
        <f t="shared" si="5"/>
        <v>#VALUE!</v>
      </c>
    </row>
    <row r="37" spans="1:13" x14ac:dyDescent="0.3">
      <c r="C37" s="40" t="s">
        <v>48</v>
      </c>
      <c r="D37" s="68" t="e">
        <f t="shared" ref="D37:I37" si="6">EXP(D34)</f>
        <v>#VALUE!</v>
      </c>
      <c r="E37" s="68" t="e">
        <f t="shared" si="6"/>
        <v>#VALUE!</v>
      </c>
      <c r="F37" s="68" t="e">
        <f t="shared" si="6"/>
        <v>#VALUE!</v>
      </c>
      <c r="G37" s="68" t="e">
        <f t="shared" si="6"/>
        <v>#VALUE!</v>
      </c>
      <c r="H37" s="68" t="e">
        <f t="shared" si="6"/>
        <v>#VALUE!</v>
      </c>
      <c r="I37" s="68" t="e">
        <f t="shared" si="6"/>
        <v>#VALUE!</v>
      </c>
    </row>
    <row r="38" spans="1:13" x14ac:dyDescent="0.3">
      <c r="C38" s="4" t="s">
        <v>49</v>
      </c>
      <c r="D38" s="67" t="e">
        <f>D37/60</f>
        <v>#VALUE!</v>
      </c>
      <c r="E38" s="67" t="e">
        <f t="shared" ref="E38:H38" si="7">E37/60</f>
        <v>#VALUE!</v>
      </c>
      <c r="F38" s="67" t="e">
        <f t="shared" si="7"/>
        <v>#VALUE!</v>
      </c>
      <c r="G38" s="67" t="e">
        <f t="shared" si="7"/>
        <v>#VALUE!</v>
      </c>
      <c r="H38" s="67" t="e">
        <f t="shared" si="7"/>
        <v>#VALUE!</v>
      </c>
      <c r="I38" s="67" t="e">
        <f t="shared" ref="I38" si="8">I37/60</f>
        <v>#VALUE!</v>
      </c>
    </row>
    <row r="39" spans="1:13" x14ac:dyDescent="0.3">
      <c r="D39" s="1"/>
    </row>
    <row r="40" spans="1:13" x14ac:dyDescent="0.3">
      <c r="D40" s="1"/>
    </row>
    <row r="41" spans="1:13" x14ac:dyDescent="0.3">
      <c r="D41" s="1"/>
    </row>
    <row r="42" spans="1:13" x14ac:dyDescent="0.3">
      <c r="C42" s="36" t="s">
        <v>26</v>
      </c>
      <c r="D42" s="1"/>
    </row>
    <row r="43" spans="1:13" x14ac:dyDescent="0.3">
      <c r="D43" s="1"/>
    </row>
    <row r="44" spans="1:13" x14ac:dyDescent="0.3">
      <c r="B44" s="4" t="s">
        <v>27</v>
      </c>
      <c r="C44" s="4" t="s">
        <v>27</v>
      </c>
      <c r="D44" s="27" t="str">
        <f t="shared" ref="D44:I44" si="9">D8</f>
        <v>temps de retour = 5 ans</v>
      </c>
      <c r="E44" s="27" t="str">
        <f t="shared" si="9"/>
        <v>temps de retour = 10 ans</v>
      </c>
      <c r="F44" s="27" t="str">
        <f t="shared" si="9"/>
        <v>temps de retour = 20 ans</v>
      </c>
      <c r="G44" s="27" t="str">
        <f t="shared" si="9"/>
        <v>temps de retour = 30 ans</v>
      </c>
      <c r="H44" s="27" t="str">
        <f t="shared" si="9"/>
        <v>temps de retour = 50 ans</v>
      </c>
      <c r="I44" s="27" t="str">
        <f t="shared" si="9"/>
        <v>temps de retour =100 ans</v>
      </c>
    </row>
    <row r="45" spans="1:13" x14ac:dyDescent="0.3">
      <c r="B45" s="1" t="s">
        <v>60</v>
      </c>
      <c r="C45" s="1" t="s">
        <v>28</v>
      </c>
      <c r="D45" s="1" t="s">
        <v>13</v>
      </c>
      <c r="E45" s="1" t="s">
        <v>13</v>
      </c>
      <c r="F45" s="1" t="s">
        <v>13</v>
      </c>
      <c r="G45" s="1" t="s">
        <v>13</v>
      </c>
      <c r="H45" s="1" t="s">
        <v>13</v>
      </c>
      <c r="I45" s="1" t="s">
        <v>13</v>
      </c>
      <c r="L45" s="41"/>
      <c r="M45" s="41"/>
    </row>
    <row r="46" spans="1:13" x14ac:dyDescent="0.3">
      <c r="A46" s="90" t="s">
        <v>61</v>
      </c>
      <c r="B46" t="str">
        <f>IDF!E24</f>
        <v>r1</v>
      </c>
      <c r="C46" s="56" t="e">
        <f>B46/60</f>
        <v>#VALUE!</v>
      </c>
      <c r="D46" s="69" t="e">
        <f>$D$37/(B46^$D$36)</f>
        <v>#VALUE!</v>
      </c>
      <c r="E46" s="69" t="e">
        <f>$E$37/(B46^$E$36)</f>
        <v>#VALUE!</v>
      </c>
      <c r="F46" s="69" t="e">
        <f>$F$37/(B46^$F$36)</f>
        <v>#VALUE!</v>
      </c>
      <c r="G46" s="69" t="e">
        <f>$G$37/(B46^$G$36)</f>
        <v>#VALUE!</v>
      </c>
      <c r="H46" s="69" t="e">
        <f>$H$37/(B46^$H$36)</f>
        <v>#VALUE!</v>
      </c>
      <c r="I46" s="69" t="e">
        <f>$I$37/(B46^$I$36)</f>
        <v>#VALUE!</v>
      </c>
      <c r="L46" s="41"/>
      <c r="M46" s="41"/>
    </row>
    <row r="47" spans="1:13" x14ac:dyDescent="0.3">
      <c r="A47" s="90"/>
      <c r="B47" t="str">
        <f>IDF!E25</f>
        <v>r10</v>
      </c>
      <c r="C47" s="56" t="e">
        <f t="shared" ref="C47:C51" si="10">B47/60</f>
        <v>#VALUE!</v>
      </c>
      <c r="D47" s="69" t="e">
        <f t="shared" ref="D47:D51" si="11">$D$37/(B47^$D$36)</f>
        <v>#VALUE!</v>
      </c>
      <c r="E47" s="69" t="e">
        <f t="shared" ref="E47:E51" si="12">$E$37/(B47^$E$36)</f>
        <v>#VALUE!</v>
      </c>
      <c r="F47" s="69" t="e">
        <f t="shared" ref="F47:F51" si="13">$F$37/(B47^$F$36)</f>
        <v>#VALUE!</v>
      </c>
      <c r="G47" s="69" t="e">
        <f t="shared" ref="G47:G51" si="14">$G$37/(B47^$G$36)</f>
        <v>#VALUE!</v>
      </c>
      <c r="H47" s="69" t="e">
        <f t="shared" ref="H47:H51" si="15">$H$37/(B47^$H$36)</f>
        <v>#VALUE!</v>
      </c>
      <c r="I47" s="69" t="e">
        <f t="shared" ref="I47:I51" si="16">$I$37/(B47^$I$36)</f>
        <v>#VALUE!</v>
      </c>
      <c r="L47" s="41"/>
      <c r="M47" s="41"/>
    </row>
    <row r="48" spans="1:13" x14ac:dyDescent="0.3">
      <c r="A48" s="90"/>
      <c r="B48" t="str">
        <f>IDF!E26</f>
        <v>r2</v>
      </c>
      <c r="C48" s="56" t="e">
        <f t="shared" si="10"/>
        <v>#VALUE!</v>
      </c>
      <c r="D48" s="69" t="e">
        <f t="shared" si="11"/>
        <v>#VALUE!</v>
      </c>
      <c r="E48" s="69" t="e">
        <f t="shared" si="12"/>
        <v>#VALUE!</v>
      </c>
      <c r="F48" s="69" t="e">
        <f t="shared" si="13"/>
        <v>#VALUE!</v>
      </c>
      <c r="G48" s="69" t="e">
        <f t="shared" si="14"/>
        <v>#VALUE!</v>
      </c>
      <c r="H48" s="69" t="e">
        <f t="shared" si="15"/>
        <v>#VALUE!</v>
      </c>
      <c r="I48" s="69" t="e">
        <f t="shared" si="16"/>
        <v>#VALUE!</v>
      </c>
      <c r="L48" s="41"/>
      <c r="M48" s="41"/>
    </row>
    <row r="49" spans="1:13" x14ac:dyDescent="0.3">
      <c r="A49" s="90"/>
      <c r="B49" t="str">
        <f>IDF!E27</f>
        <v>r3</v>
      </c>
      <c r="C49" s="56" t="e">
        <f t="shared" si="10"/>
        <v>#VALUE!</v>
      </c>
      <c r="D49" s="69" t="e">
        <f t="shared" si="11"/>
        <v>#VALUE!</v>
      </c>
      <c r="E49" s="69" t="e">
        <f t="shared" si="12"/>
        <v>#VALUE!</v>
      </c>
      <c r="F49" s="69" t="e">
        <f t="shared" si="13"/>
        <v>#VALUE!</v>
      </c>
      <c r="G49" s="69" t="e">
        <f t="shared" si="14"/>
        <v>#VALUE!</v>
      </c>
      <c r="H49" s="69" t="e">
        <f t="shared" si="15"/>
        <v>#VALUE!</v>
      </c>
      <c r="I49" s="69" t="e">
        <f t="shared" si="16"/>
        <v>#VALUE!</v>
      </c>
      <c r="L49" s="41"/>
      <c r="M49" s="41"/>
    </row>
    <row r="50" spans="1:13" x14ac:dyDescent="0.3">
      <c r="A50" s="90"/>
      <c r="B50" t="str">
        <f>IDF!E28</f>
        <v>r4</v>
      </c>
      <c r="C50" s="56" t="e">
        <f t="shared" si="10"/>
        <v>#VALUE!</v>
      </c>
      <c r="D50" s="69" t="e">
        <f t="shared" si="11"/>
        <v>#VALUE!</v>
      </c>
      <c r="E50" s="69" t="e">
        <f t="shared" si="12"/>
        <v>#VALUE!</v>
      </c>
      <c r="F50" s="69" t="e">
        <f t="shared" si="13"/>
        <v>#VALUE!</v>
      </c>
      <c r="G50" s="69" t="e">
        <f t="shared" si="14"/>
        <v>#VALUE!</v>
      </c>
      <c r="H50" s="69" t="e">
        <f t="shared" si="15"/>
        <v>#VALUE!</v>
      </c>
      <c r="I50" s="69" t="e">
        <f t="shared" si="16"/>
        <v>#VALUE!</v>
      </c>
      <c r="L50" s="41"/>
      <c r="M50" s="41"/>
    </row>
    <row r="51" spans="1:13" x14ac:dyDescent="0.3">
      <c r="A51" s="90"/>
      <c r="B51" t="str">
        <f>IDF!E29</f>
        <v>r5</v>
      </c>
      <c r="C51" s="56" t="e">
        <f t="shared" si="10"/>
        <v>#VALUE!</v>
      </c>
      <c r="D51" s="69" t="e">
        <f t="shared" si="11"/>
        <v>#VALUE!</v>
      </c>
      <c r="E51" s="69" t="e">
        <f t="shared" si="12"/>
        <v>#VALUE!</v>
      </c>
      <c r="F51" s="69" t="e">
        <f t="shared" si="13"/>
        <v>#VALUE!</v>
      </c>
      <c r="G51" s="69" t="e">
        <f t="shared" si="14"/>
        <v>#VALUE!</v>
      </c>
      <c r="H51" s="69" t="e">
        <f t="shared" si="15"/>
        <v>#VALUE!</v>
      </c>
      <c r="I51" s="69" t="e">
        <f t="shared" si="16"/>
        <v>#VALUE!</v>
      </c>
    </row>
    <row r="52" spans="1:13" x14ac:dyDescent="0.3">
      <c r="B52" s="4" t="s">
        <v>27</v>
      </c>
      <c r="C52" s="4" t="s">
        <v>27</v>
      </c>
      <c r="D52" s="57"/>
      <c r="E52" s="57"/>
      <c r="F52" s="57"/>
      <c r="G52" s="57"/>
      <c r="H52" s="57"/>
      <c r="I52" s="57"/>
    </row>
    <row r="53" spans="1:13" x14ac:dyDescent="0.3">
      <c r="B53" s="1" t="s">
        <v>60</v>
      </c>
      <c r="C53" s="1" t="s">
        <v>28</v>
      </c>
      <c r="D53" s="57"/>
      <c r="E53" s="57"/>
      <c r="F53" s="57"/>
      <c r="G53" s="57"/>
      <c r="H53" s="57"/>
      <c r="I53" s="57"/>
    </row>
    <row r="54" spans="1:13" x14ac:dyDescent="0.3">
      <c r="A54" s="90" t="s">
        <v>62</v>
      </c>
      <c r="B54" t="str">
        <f>IDF!E24</f>
        <v>r1</v>
      </c>
      <c r="C54" s="56" t="e">
        <f>B54/60</f>
        <v>#VALUE!</v>
      </c>
      <c r="D54" s="57" t="e">
        <f>D$38*$B46^(1-D$36)</f>
        <v>#VALUE!</v>
      </c>
      <c r="E54" s="57" t="e">
        <f t="shared" ref="E54:H54" si="17">E$38*$B46^(1-E$36)</f>
        <v>#VALUE!</v>
      </c>
      <c r="F54" s="57" t="e">
        <f t="shared" si="17"/>
        <v>#VALUE!</v>
      </c>
      <c r="G54" s="57" t="e">
        <f t="shared" si="17"/>
        <v>#VALUE!</v>
      </c>
      <c r="H54" s="57" t="e">
        <f t="shared" si="17"/>
        <v>#VALUE!</v>
      </c>
      <c r="I54" s="57" t="e">
        <f t="shared" ref="I54:I59" si="18">I$38*$B46^(1-I$36)</f>
        <v>#VALUE!</v>
      </c>
    </row>
    <row r="55" spans="1:13" x14ac:dyDescent="0.3">
      <c r="A55" s="90"/>
      <c r="B55" t="str">
        <f>IDF!E25</f>
        <v>r10</v>
      </c>
      <c r="C55" s="56" t="e">
        <f t="shared" ref="C55:C59" si="19">B55/60</f>
        <v>#VALUE!</v>
      </c>
      <c r="D55" s="57" t="e">
        <f t="shared" ref="D55:H55" si="20">D$38*$B47^(1-D$36)</f>
        <v>#VALUE!</v>
      </c>
      <c r="E55" s="57" t="e">
        <f t="shared" si="20"/>
        <v>#VALUE!</v>
      </c>
      <c r="F55" s="57" t="e">
        <f t="shared" si="20"/>
        <v>#VALUE!</v>
      </c>
      <c r="G55" s="57" t="e">
        <f t="shared" si="20"/>
        <v>#VALUE!</v>
      </c>
      <c r="H55" s="57" t="e">
        <f t="shared" si="20"/>
        <v>#VALUE!</v>
      </c>
      <c r="I55" s="57" t="e">
        <f t="shared" si="18"/>
        <v>#VALUE!</v>
      </c>
    </row>
    <row r="56" spans="1:13" x14ac:dyDescent="0.3">
      <c r="A56" s="90"/>
      <c r="B56" t="str">
        <f>IDF!E26</f>
        <v>r2</v>
      </c>
      <c r="C56" s="56" t="e">
        <f t="shared" si="19"/>
        <v>#VALUE!</v>
      </c>
      <c r="D56" s="57" t="e">
        <f t="shared" ref="D56:H56" si="21">D$38*$B48^(1-D$36)</f>
        <v>#VALUE!</v>
      </c>
      <c r="E56" s="57" t="e">
        <f t="shared" si="21"/>
        <v>#VALUE!</v>
      </c>
      <c r="F56" s="57" t="e">
        <f t="shared" si="21"/>
        <v>#VALUE!</v>
      </c>
      <c r="G56" s="57" t="e">
        <f t="shared" si="21"/>
        <v>#VALUE!</v>
      </c>
      <c r="H56" s="57" t="e">
        <f t="shared" si="21"/>
        <v>#VALUE!</v>
      </c>
      <c r="I56" s="57" t="e">
        <f t="shared" si="18"/>
        <v>#VALUE!</v>
      </c>
    </row>
    <row r="57" spans="1:13" x14ac:dyDescent="0.3">
      <c r="A57" s="90"/>
      <c r="B57" t="str">
        <f>IDF!E27</f>
        <v>r3</v>
      </c>
      <c r="C57" s="56" t="e">
        <f t="shared" si="19"/>
        <v>#VALUE!</v>
      </c>
      <c r="D57" s="57" t="e">
        <f t="shared" ref="D57:H57" si="22">D$38*$B49^(1-D$36)</f>
        <v>#VALUE!</v>
      </c>
      <c r="E57" s="57" t="e">
        <f t="shared" si="22"/>
        <v>#VALUE!</v>
      </c>
      <c r="F57" s="57" t="e">
        <f t="shared" si="22"/>
        <v>#VALUE!</v>
      </c>
      <c r="G57" s="57" t="e">
        <f t="shared" si="22"/>
        <v>#VALUE!</v>
      </c>
      <c r="H57" s="57" t="e">
        <f t="shared" si="22"/>
        <v>#VALUE!</v>
      </c>
      <c r="I57" s="57" t="e">
        <f t="shared" si="18"/>
        <v>#VALUE!</v>
      </c>
    </row>
    <row r="58" spans="1:13" x14ac:dyDescent="0.3">
      <c r="A58" s="90"/>
      <c r="B58" t="str">
        <f>IDF!E28</f>
        <v>r4</v>
      </c>
      <c r="C58" s="56" t="e">
        <f t="shared" si="19"/>
        <v>#VALUE!</v>
      </c>
      <c r="D58" s="57" t="e">
        <f t="shared" ref="D58:H58" si="23">D$38*$B50^(1-D$36)</f>
        <v>#VALUE!</v>
      </c>
      <c r="E58" s="57" t="e">
        <f t="shared" si="23"/>
        <v>#VALUE!</v>
      </c>
      <c r="F58" s="57" t="e">
        <f t="shared" si="23"/>
        <v>#VALUE!</v>
      </c>
      <c r="G58" s="57" t="e">
        <f t="shared" si="23"/>
        <v>#VALUE!</v>
      </c>
      <c r="H58" s="57" t="e">
        <f t="shared" si="23"/>
        <v>#VALUE!</v>
      </c>
      <c r="I58" s="57" t="e">
        <f t="shared" si="18"/>
        <v>#VALUE!</v>
      </c>
    </row>
    <row r="59" spans="1:13" x14ac:dyDescent="0.3">
      <c r="A59" s="90"/>
      <c r="B59" t="str">
        <f>IDF!E29</f>
        <v>r5</v>
      </c>
      <c r="C59" s="56" t="e">
        <f t="shared" si="19"/>
        <v>#VALUE!</v>
      </c>
      <c r="D59" s="57" t="e">
        <f t="shared" ref="D59:H59" si="24">D$38*$B51^(1-D$36)</f>
        <v>#VALUE!</v>
      </c>
      <c r="E59" s="57" t="e">
        <f t="shared" si="24"/>
        <v>#VALUE!</v>
      </c>
      <c r="F59" s="57" t="e">
        <f t="shared" si="24"/>
        <v>#VALUE!</v>
      </c>
      <c r="G59" s="57" t="e">
        <f t="shared" si="24"/>
        <v>#VALUE!</v>
      </c>
      <c r="H59" s="57" t="e">
        <f t="shared" si="24"/>
        <v>#VALUE!</v>
      </c>
      <c r="I59" s="57" t="e">
        <f t="shared" si="18"/>
        <v>#VALUE!</v>
      </c>
    </row>
    <row r="60" spans="1:13" x14ac:dyDescent="0.3">
      <c r="D60" s="63"/>
    </row>
  </sheetData>
  <mergeCells count="2">
    <mergeCell ref="A46:A51"/>
    <mergeCell ref="A54:A59"/>
  </mergeCells>
  <pageMargins left="0.7" right="0.7" top="0.75" bottom="0.75" header="0.3" footer="0.3"/>
  <pageSetup paperSize="9" orientation="portrait" horizontalDpi="300" verticalDpi="0" r:id="rId1"/>
  <drawing r:id="rId2"/>
  <legacyDrawing r:id="rId3"/>
  <oleObjects>
    <mc:AlternateContent xmlns:mc="http://schemas.openxmlformats.org/markup-compatibility/2006">
      <mc:Choice Requires="x14">
        <oleObject progId="Equation.DSMT4" shapeId="8194" r:id="rId4">
          <objectPr defaultSize="0" autoPict="0" r:id="rId5">
            <anchor moveWithCells="1" sizeWithCells="1">
              <from>
                <xdr:col>3</xdr:col>
                <xdr:colOff>213360</xdr:colOff>
                <xdr:row>39</xdr:row>
                <xdr:rowOff>121920</xdr:rowOff>
              </from>
              <to>
                <xdr:col>3</xdr:col>
                <xdr:colOff>822960</xdr:colOff>
                <xdr:row>42</xdr:row>
                <xdr:rowOff>22860</xdr:rowOff>
              </to>
            </anchor>
          </objectPr>
        </oleObject>
      </mc:Choice>
      <mc:Fallback>
        <oleObject progId="Equation.DSMT4" shapeId="8194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702F51DB38BA4D898D6D5A06B0E067" ma:contentTypeVersion="20" ma:contentTypeDescription="Crée un document." ma:contentTypeScope="" ma:versionID="a6fdd19422edf45cc2afa4489a1303f0">
  <xsd:schema xmlns:xsd="http://www.w3.org/2001/XMLSchema" xmlns:xs="http://www.w3.org/2001/XMLSchema" xmlns:p="http://schemas.microsoft.com/office/2006/metadata/properties" xmlns:ns2="91fa434c-f3d3-44e5-90a1-50e45330c30b" xmlns:ns3="50fc7b72-2091-4c54-b916-ab5bd76b007d" targetNamespace="http://schemas.microsoft.com/office/2006/metadata/properties" ma:root="true" ma:fieldsID="b17f5c5b2e9097f9da6b609321e9e33c" ns2:_="" ns3:_="">
    <xsd:import namespace="91fa434c-f3d3-44e5-90a1-50e45330c30b"/>
    <xsd:import namespace="50fc7b72-2091-4c54-b916-ab5bd76b0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a434c-f3d3-44e5-90a1-50e45330c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a4c0e6f3-28d5-43a1-91c1-c5deafbafb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c7b72-2091-4c54-b916-ab5bd76b0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76cdfb6-ea4d-4109-a5d6-d111a00d418f}" ma:internalName="TaxCatchAll" ma:showField="CatchAllData" ma:web="50fc7b72-2091-4c54-b916-ab5bd76b0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fc7b72-2091-4c54-b916-ab5bd76b007d" xsi:nil="true"/>
    <lcf76f155ced4ddcb4097134ff3c332f xmlns="91fa434c-f3d3-44e5-90a1-50e45330c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892B0-A32C-400F-8C21-254A237B6D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fa434c-f3d3-44e5-90a1-50e45330c30b"/>
    <ds:schemaRef ds:uri="50fc7b72-2091-4c54-b916-ab5bd76b0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2FD3CC-106D-41AD-B11F-3F914A68538A}">
  <ds:schemaRefs>
    <ds:schemaRef ds:uri="http://schemas.microsoft.com/office/2006/metadata/properties"/>
    <ds:schemaRef ds:uri="http://schemas.microsoft.com/office/infopath/2007/PartnerControls"/>
    <ds:schemaRef ds:uri="50fc7b72-2091-4c54-b916-ab5bd76b007d"/>
    <ds:schemaRef ds:uri="91fa434c-f3d3-44e5-90a1-50e45330c30b"/>
  </ds:schemaRefs>
</ds:datastoreItem>
</file>

<file path=customXml/itemProps3.xml><?xml version="1.0" encoding="utf-8"?>
<ds:datastoreItem xmlns:ds="http://schemas.openxmlformats.org/officeDocument/2006/customXml" ds:itemID="{A78A35DF-3B76-47C7-A7B3-D44B49FDE2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1</vt:i4>
      </vt:variant>
    </vt:vector>
  </HeadingPairs>
  <TitlesOfParts>
    <vt:vector size="7" baseType="lpstr">
      <vt:lpstr>Max_An_non_triee</vt:lpstr>
      <vt:lpstr>Valeurs Maximales Annuelles</vt:lpstr>
      <vt:lpstr>Ajustement de GUMBEL</vt:lpstr>
      <vt:lpstr>Ajustement de Gumbel-Graph</vt:lpstr>
      <vt:lpstr>IDF</vt:lpstr>
      <vt:lpstr>IDF MONTANA</vt:lpstr>
      <vt:lpstr>IDF_PLOT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GUETTE Vivien</cp:lastModifiedBy>
  <dcterms:created xsi:type="dcterms:W3CDTF">2020-12-21T17:26:58Z</dcterms:created>
  <dcterms:modified xsi:type="dcterms:W3CDTF">2025-12-03T09:35:53Z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0x01010094702F51DB38BA4D898D6D5A06B0E067</vt:lpwstr>
  </property>
  <property fmtid="{D5CDD505-2E9C-101B-9397-08002B2CF9AE}" pid="3" name="MediaServiceImageTags">
    <vt:lpwstr/>
  </property>
</Properties>
</file>